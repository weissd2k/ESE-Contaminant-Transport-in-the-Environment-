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eissd2k_ic_ac_uk/Documents/4 Teaching/Lectures/LabCourseEnvironGeochemistry ESE 50012/Modules/Ch 12 Surface Complexation Models/Model answers PHREEQC/"/>
    </mc:Choice>
  </mc:AlternateContent>
  <xr:revisionPtr revIDLastSave="13" documentId="11_CBDCD3B3FF244CCD69C68D9A1BF135BA41851D02" xr6:coauthVersionLast="47" xr6:coauthVersionMax="47" xr10:uidLastSave="{1959DF04-D7EC-4C1A-A530-D163450D3EAC}"/>
  <bookViews>
    <workbookView xWindow="-108" yWindow="-108" windowWidth="23256" windowHeight="13896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</calcChain>
</file>

<file path=xl/sharedStrings.xml><?xml version="1.0" encoding="utf-8"?>
<sst xmlns="http://schemas.openxmlformats.org/spreadsheetml/2006/main" count="28" uniqueCount="20">
  <si>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</si>
  <si>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</si>
  <si>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</si>
  <si>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</si>
  <si>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</si>
  <si>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</si>
  <si>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</si>
  <si>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</si>
  <si>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reaction</t>
  </si>
  <si>
    <t xml:space="preserve">        temp</t>
  </si>
  <si>
    <t xml:space="preserve">         Alk</t>
  </si>
  <si>
    <t xml:space="preserve">          mu</t>
  </si>
  <si>
    <t xml:space="preserve">    mass_H2O</t>
  </si>
  <si>
    <t xml:space="preserve">      charge</t>
  </si>
  <si>
    <t xml:space="preserve">     pct_err</t>
  </si>
  <si>
    <t xml:space="preserve">   m_HAsO4-2</t>
  </si>
  <si>
    <t xml:space="preserve">   m_H2AsO4-</t>
  </si>
  <si>
    <t xml:space="preserve">    m_H3AsO4</t>
  </si>
  <si>
    <t xml:space="preserve">      i_soln</t>
  </si>
  <si>
    <t xml:space="preserve">    m_AsO4-3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</si>
</sst>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As(V) speciation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56806096263989"/>
          <c:y val="0.25247530775654065"/>
          <c:w val="0.61901043038765136"/>
          <c:h val="0.6686254181544341"/>
        </c:manualLayout>
      </c:layout>
      <c:scatterChart>
        <c:scatterStyle val="smoothMarker"/>
        <c:varyColors val="0"/>
        <c:ser>
          <c:idx val="0"/>
          <c:order val="0"/>
          <c:tx>
            <c:v>AsO4-3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output!$G$2:$G$13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output!$P$2:$P$14</c:f>
              <c:numCache>
                <c:formatCode>0.00E+00</c:formatCode>
                <c:ptCount val="13"/>
                <c:pt idx="0">
                  <c:v>4.1385E-18</c:v>
                </c:pt>
                <c:pt idx="1">
                  <c:v>4.5813000000000001E-16</c:v>
                </c:pt>
                <c:pt idx="2">
                  <c:v>4.4899E-14</c:v>
                </c:pt>
                <c:pt idx="3">
                  <c:v>3.4355000000000001E-12</c:v>
                </c:pt>
                <c:pt idx="4">
                  <c:v>1.0234000000000001E-10</c:v>
                </c:pt>
                <c:pt idx="5">
                  <c:v>1.2748E-9</c:v>
                </c:pt>
                <c:pt idx="6">
                  <c:v>1.2956E-8</c:v>
                </c:pt>
                <c:pt idx="7">
                  <c:v>1.1946000000000001E-7</c:v>
                </c:pt>
                <c:pt idx="8">
                  <c:v>6.6273000000000001E-7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06-4382-AB35-377A1E2E236E}"/>
            </c:ext>
          </c:extLst>
        </c:ser>
        <c:ser>
          <c:idx val="1"/>
          <c:order val="1"/>
          <c:tx>
            <c:v>HAsO4-2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output!$G$2:$G$11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output!$Q$2:$Q$11</c:f>
              <c:numCache>
                <c:formatCode>0.00E+00</c:formatCode>
                <c:ptCount val="10"/>
                <c:pt idx="0">
                  <c:v>4.1968999999999997E-10</c:v>
                </c:pt>
                <c:pt idx="1">
                  <c:v>4.6593999999999999E-9</c:v>
                </c:pt>
                <c:pt idx="2">
                  <c:v>4.5678E-8</c:v>
                </c:pt>
                <c:pt idx="3">
                  <c:v>3.4951000000000001E-7</c:v>
                </c:pt>
                <c:pt idx="4">
                  <c:v>1.0412000000000001E-6</c:v>
                </c:pt>
                <c:pt idx="5">
                  <c:v>1.2969E-6</c:v>
                </c:pt>
                <c:pt idx="6">
                  <c:v>1.3180999999999999E-6</c:v>
                </c:pt>
                <c:pt idx="7">
                  <c:v>1.2149E-6</c:v>
                </c:pt>
                <c:pt idx="8">
                  <c:v>6.7197999999999996E-7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06-4382-AB35-377A1E2E236E}"/>
            </c:ext>
          </c:extLst>
        </c:ser>
        <c:ser>
          <c:idx val="2"/>
          <c:order val="2"/>
          <c:tx>
            <c:v>H2AsO4-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output!$G$2:$G$15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output!$R$2:$R$16</c:f>
              <c:numCache>
                <c:formatCode>0.00E+00</c:formatCode>
                <c:ptCount val="15"/>
                <c:pt idx="0">
                  <c:v>1.1814E-6</c:v>
                </c:pt>
                <c:pt idx="1">
                  <c:v>1.3131E-6</c:v>
                </c:pt>
                <c:pt idx="2">
                  <c:v>1.2873999999999999E-6</c:v>
                </c:pt>
                <c:pt idx="3">
                  <c:v>9.8507999999999998E-7</c:v>
                </c:pt>
                <c:pt idx="4">
                  <c:v>2.9345000000000002E-7</c:v>
                </c:pt>
                <c:pt idx="5">
                  <c:v>3.6552000000000002E-8</c:v>
                </c:pt>
                <c:pt idx="6">
                  <c:v>3.7148E-9</c:v>
                </c:pt>
                <c:pt idx="7">
                  <c:v>3.4236999999999998E-10</c:v>
                </c:pt>
                <c:pt idx="8">
                  <c:v>1.8914000000000001E-11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06-4382-AB35-377A1E2E236E}"/>
            </c:ext>
          </c:extLst>
        </c:ser>
        <c:ser>
          <c:idx val="3"/>
          <c:order val="3"/>
          <c:tx>
            <c:v>H3AsO4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output!$G$2:$G$12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output!$S$2:$S$13</c:f>
              <c:numCache>
                <c:formatCode>0.00E+00</c:formatCode>
                <c:ptCount val="12"/>
                <c:pt idx="0">
                  <c:v>1.5295999999999999E-7</c:v>
                </c:pt>
                <c:pt idx="1">
                  <c:v>1.7010000000000001E-8</c:v>
                </c:pt>
                <c:pt idx="2">
                  <c:v>1.6678E-9</c:v>
                </c:pt>
                <c:pt idx="3">
                  <c:v>1.2761999999999999E-10</c:v>
                </c:pt>
                <c:pt idx="4">
                  <c:v>3.8016000000000003E-12</c:v>
                </c:pt>
                <c:pt idx="5">
                  <c:v>4.7352999999999998E-14</c:v>
                </c:pt>
                <c:pt idx="6">
                  <c:v>4.8124000000000001E-16</c:v>
                </c:pt>
                <c:pt idx="7">
                  <c:v>4.4351000000000004E-18</c:v>
                </c:pt>
                <c:pt idx="8">
                  <c:v>2.4488E-20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06-4382-AB35-377A1E2E2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437048"/>
        <c:axId val="1258436656"/>
      </c:scatterChart>
      <c:valAx>
        <c:axId val="1258437048"/>
        <c:scaling>
          <c:orientation val="minMax"/>
          <c:max val="11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36656"/>
        <c:crosses val="autoZero"/>
        <c:crossBetween val="midCat"/>
      </c:valAx>
      <c:valAx>
        <c:axId val="12584366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(M)</a:t>
                </a:r>
              </a:p>
            </c:rich>
          </c:tx>
          <c:layout>
            <c:manualLayout>
              <c:xMode val="edge"/>
              <c:yMode val="edge"/>
              <c:x val="4.4609665427509292E-2"/>
              <c:y val="0.41216163429865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37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270510</xdr:colOff>
      <xdr:row>12</xdr:row>
      <xdr:rowOff>16192</xdr:rowOff>
    </xdr:from>
    <xdr:to>
      <xdr:col>10</xdr:col>
      <xdr:colOff>518160</xdr:colOff>
      <xdr:row>29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304800</xdr:colOff>
      <xdr:row>14</xdr:row>
      <xdr:rowOff>152400</xdr:rowOff>
    </xdr:from>
    <xdr:ext cx="68897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093704-C9C0-1E13-9F02-0CFD4E5A6280}"/>
            </a:ext>
          </a:extLst>
        </xdr:cNvPr>
        <xdr:cNvSpPr txBox="1"/>
      </xdr:nvSpPr>
      <xdr:spPr>
        <a:xfrm>
          <a:off x="4572000" y="2712720"/>
          <a:ext cx="6889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HAsO42-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G29" sqref="G29"/>
    </sheetView>
  </sheetViews>
  <sheetFormatPr defaultRowHeight="14.4" x14ac:dyDescent="0.3"/>
  <cols>
    <col min="16" max="16" width="11.21875" bestFit="1" customWidth="1"/>
    <col min="17" max="18" width="12" bestFit="1" customWidth="1"/>
    <col min="19" max="19" width="11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15</v>
      </c>
      <c r="R1" t="s">
        <v>16</v>
      </c>
      <c r="S1" t="s">
        <v>17</v>
      </c>
    </row>
    <row r="2" spans="1:20" x14ac:dyDescent="0.3">
      <c r="A2">
        <v>4</v>
      </c>
      <c r="B2" t="s">
        <v>18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-1.2175700000000001E-3</v>
      </c>
      <c r="L2">
        <v>9.9576100000000001E-2</v>
      </c>
      <c r="M2">
        <v>1</v>
      </c>
      <c r="N2">
        <v>1.21623E-3</v>
      </c>
      <c r="O2">
        <v>0.61070599999999997</v>
      </c>
      <c r="P2" s="1">
        <v>4.1385E-18</v>
      </c>
      <c r="Q2" s="1">
        <v>4.1968999999999997E-10</v>
      </c>
      <c r="R2" s="1">
        <v>1.1814E-6</v>
      </c>
      <c r="S2" s="1">
        <v>1.5295999999999999E-7</v>
      </c>
      <c r="T2" s="1">
        <f>SUM(P2:S2)</f>
        <v>1.3347796900041385E-6</v>
      </c>
    </row>
    <row r="3" spans="1:20" x14ac:dyDescent="0.3">
      <c r="A3">
        <v>5</v>
      </c>
      <c r="B3" t="s">
        <v>18</v>
      </c>
      <c r="C3">
        <v>2</v>
      </c>
      <c r="D3">
        <v>-99</v>
      </c>
      <c r="E3">
        <v>-99</v>
      </c>
      <c r="F3">
        <v>-99</v>
      </c>
      <c r="G3">
        <v>4</v>
      </c>
      <c r="H3">
        <v>4</v>
      </c>
      <c r="I3">
        <v>-99</v>
      </c>
      <c r="J3">
        <v>25</v>
      </c>
      <c r="K3">
        <v>-1.21729E-4</v>
      </c>
      <c r="L3">
        <v>9.9042400000000003E-2</v>
      </c>
      <c r="M3">
        <v>1</v>
      </c>
      <c r="N3">
        <v>1.20394E-4</v>
      </c>
      <c r="O3">
        <v>6.0779100000000003E-2</v>
      </c>
      <c r="P3" s="1">
        <v>4.5813000000000001E-16</v>
      </c>
      <c r="Q3" s="1">
        <v>4.6593999999999999E-9</v>
      </c>
      <c r="R3" s="1">
        <v>1.3131E-6</v>
      </c>
      <c r="S3" s="1">
        <v>1.7010000000000001E-8</v>
      </c>
      <c r="T3" s="1">
        <f t="shared" ref="T3:T10" si="0">SUM(P3:S3)</f>
        <v>1.3347694004581301E-6</v>
      </c>
    </row>
    <row r="4" spans="1:20" x14ac:dyDescent="0.3">
      <c r="A4">
        <v>6</v>
      </c>
      <c r="B4" t="s">
        <v>18</v>
      </c>
      <c r="C4">
        <v>3</v>
      </c>
      <c r="D4">
        <v>-99</v>
      </c>
      <c r="E4">
        <v>-99</v>
      </c>
      <c r="F4">
        <v>-99</v>
      </c>
      <c r="G4">
        <v>5</v>
      </c>
      <c r="H4">
        <v>4</v>
      </c>
      <c r="I4">
        <v>-99</v>
      </c>
      <c r="J4">
        <v>25</v>
      </c>
      <c r="K4" s="1">
        <v>-1.2126199999999999E-5</v>
      </c>
      <c r="L4">
        <v>9.8989099999999997E-2</v>
      </c>
      <c r="M4">
        <v>1</v>
      </c>
      <c r="N4" s="1">
        <v>1.07914E-5</v>
      </c>
      <c r="O4">
        <v>5.4508200000000003E-3</v>
      </c>
      <c r="P4" s="1">
        <v>4.4899E-14</v>
      </c>
      <c r="Q4" s="1">
        <v>4.5678E-8</v>
      </c>
      <c r="R4" s="1">
        <v>1.2873999999999999E-6</v>
      </c>
      <c r="S4" s="1">
        <v>1.6678E-9</v>
      </c>
      <c r="T4" s="1">
        <f t="shared" si="0"/>
        <v>1.3347458448989999E-6</v>
      </c>
    </row>
    <row r="5" spans="1:20" x14ac:dyDescent="0.3">
      <c r="A5">
        <v>7</v>
      </c>
      <c r="B5" t="s">
        <v>18</v>
      </c>
      <c r="C5">
        <v>4</v>
      </c>
      <c r="D5">
        <v>-99</v>
      </c>
      <c r="E5">
        <v>-99</v>
      </c>
      <c r="F5">
        <v>-99</v>
      </c>
      <c r="G5">
        <v>6</v>
      </c>
      <c r="H5">
        <v>4</v>
      </c>
      <c r="I5">
        <v>-99</v>
      </c>
      <c r="J5">
        <v>25</v>
      </c>
      <c r="K5" s="1">
        <v>-8.5513399999999996E-7</v>
      </c>
      <c r="L5">
        <v>9.8984299999999997E-2</v>
      </c>
      <c r="M5">
        <v>1</v>
      </c>
      <c r="N5" s="1">
        <v>-4.79595E-7</v>
      </c>
      <c r="O5">
        <v>-2.4225900000000001E-4</v>
      </c>
      <c r="P5" s="1">
        <v>3.4355000000000001E-12</v>
      </c>
      <c r="Q5" s="1">
        <v>3.4951000000000001E-7</v>
      </c>
      <c r="R5" s="1">
        <v>9.8507999999999998E-7</v>
      </c>
      <c r="S5" s="1">
        <v>1.2761999999999999E-10</v>
      </c>
      <c r="T5" s="1">
        <f t="shared" si="0"/>
        <v>1.3347210555000001E-6</v>
      </c>
    </row>
    <row r="6" spans="1:20" x14ac:dyDescent="0.3">
      <c r="A6">
        <v>8</v>
      </c>
      <c r="B6" t="s">
        <v>18</v>
      </c>
      <c r="C6">
        <v>5</v>
      </c>
      <c r="D6">
        <v>-99</v>
      </c>
      <c r="E6">
        <v>-99</v>
      </c>
      <c r="F6">
        <v>-99</v>
      </c>
      <c r="G6">
        <v>7</v>
      </c>
      <c r="H6">
        <v>4</v>
      </c>
      <c r="I6">
        <v>-99</v>
      </c>
      <c r="J6">
        <v>25</v>
      </c>
      <c r="K6" s="1">
        <v>1.0458E-6</v>
      </c>
      <c r="L6">
        <v>9.8984799999999998E-2</v>
      </c>
      <c r="M6">
        <v>1</v>
      </c>
      <c r="N6" s="1">
        <v>-2.3805299999999999E-6</v>
      </c>
      <c r="O6">
        <v>-1.2024799999999999E-3</v>
      </c>
      <c r="P6" s="1">
        <v>1.0234000000000001E-10</v>
      </c>
      <c r="Q6" s="1">
        <v>1.0412000000000001E-6</v>
      </c>
      <c r="R6" s="1">
        <v>2.9345000000000002E-7</v>
      </c>
      <c r="S6" s="1">
        <v>3.8016000000000003E-12</v>
      </c>
      <c r="T6" s="1">
        <f t="shared" si="0"/>
        <v>1.3347561416000002E-6</v>
      </c>
    </row>
    <row r="7" spans="1:20" x14ac:dyDescent="0.3">
      <c r="A7">
        <v>9</v>
      </c>
      <c r="B7" t="s">
        <v>18</v>
      </c>
      <c r="C7">
        <v>6</v>
      </c>
      <c r="D7">
        <v>-99</v>
      </c>
      <c r="E7">
        <v>-99</v>
      </c>
      <c r="F7">
        <v>-99</v>
      </c>
      <c r="G7">
        <v>8</v>
      </c>
      <c r="H7">
        <v>4</v>
      </c>
      <c r="I7">
        <v>-99</v>
      </c>
      <c r="J7">
        <v>25</v>
      </c>
      <c r="K7" s="1">
        <v>2.54866E-6</v>
      </c>
      <c r="L7">
        <v>9.8985699999999996E-2</v>
      </c>
      <c r="M7">
        <v>1</v>
      </c>
      <c r="N7" s="1">
        <v>-3.8833900000000001E-6</v>
      </c>
      <c r="O7">
        <v>-1.9616099999999999E-3</v>
      </c>
      <c r="P7" s="1">
        <v>1.2748E-9</v>
      </c>
      <c r="Q7" s="1">
        <v>1.2969E-6</v>
      </c>
      <c r="R7" s="1">
        <v>3.6552000000000002E-8</v>
      </c>
      <c r="S7" s="1">
        <v>4.7352999999999998E-14</v>
      </c>
      <c r="T7" s="1">
        <f t="shared" si="0"/>
        <v>1.3347268473529999E-6</v>
      </c>
    </row>
    <row r="8" spans="1:20" x14ac:dyDescent="0.3">
      <c r="A8">
        <v>10</v>
      </c>
      <c r="B8" t="s">
        <v>18</v>
      </c>
      <c r="C8">
        <v>7</v>
      </c>
      <c r="D8">
        <v>-99</v>
      </c>
      <c r="E8">
        <v>-99</v>
      </c>
      <c r="F8">
        <v>-99</v>
      </c>
      <c r="G8">
        <v>9</v>
      </c>
      <c r="H8">
        <v>4</v>
      </c>
      <c r="I8">
        <v>-99</v>
      </c>
      <c r="J8">
        <v>25</v>
      </c>
      <c r="K8" s="1">
        <v>1.3956599999999999E-5</v>
      </c>
      <c r="L8">
        <v>9.8991399999999993E-2</v>
      </c>
      <c r="M8">
        <v>1</v>
      </c>
      <c r="N8" s="1">
        <v>-1.52913E-5</v>
      </c>
      <c r="O8">
        <v>-7.7236600000000002E-3</v>
      </c>
      <c r="P8" s="1">
        <v>1.2956E-8</v>
      </c>
      <c r="Q8" s="1">
        <v>1.3180999999999999E-6</v>
      </c>
      <c r="R8" s="1">
        <v>3.7148E-9</v>
      </c>
      <c r="S8" s="1">
        <v>4.8124000000000001E-16</v>
      </c>
      <c r="T8" s="1">
        <f t="shared" si="0"/>
        <v>1.3347708004812399E-6</v>
      </c>
    </row>
    <row r="9" spans="1:20" x14ac:dyDescent="0.3">
      <c r="A9">
        <v>11</v>
      </c>
      <c r="B9" t="s">
        <v>18</v>
      </c>
      <c r="C9">
        <v>8</v>
      </c>
      <c r="D9">
        <v>-99</v>
      </c>
      <c r="E9">
        <v>-99</v>
      </c>
      <c r="F9">
        <v>-99</v>
      </c>
      <c r="G9">
        <v>10</v>
      </c>
      <c r="H9">
        <v>4</v>
      </c>
      <c r="I9">
        <v>-99</v>
      </c>
      <c r="J9">
        <v>25</v>
      </c>
      <c r="K9">
        <v>1.2759800000000001E-4</v>
      </c>
      <c r="L9">
        <v>9.9047399999999994E-2</v>
      </c>
      <c r="M9">
        <v>1</v>
      </c>
      <c r="N9">
        <v>-1.2893299999999999E-4</v>
      </c>
      <c r="O9">
        <v>-6.5087500000000006E-2</v>
      </c>
      <c r="P9" s="1">
        <v>1.1946000000000001E-7</v>
      </c>
      <c r="Q9" s="1">
        <v>1.2149E-6</v>
      </c>
      <c r="R9" s="1">
        <v>3.4236999999999998E-10</v>
      </c>
      <c r="S9" s="1">
        <v>4.4351000000000004E-18</v>
      </c>
      <c r="T9" s="1">
        <f t="shared" si="0"/>
        <v>1.3347023700044351E-6</v>
      </c>
    </row>
    <row r="10" spans="1:20" x14ac:dyDescent="0.3">
      <c r="A10">
        <v>12</v>
      </c>
      <c r="B10" t="s">
        <v>18</v>
      </c>
      <c r="C10">
        <v>9</v>
      </c>
      <c r="D10">
        <v>-99</v>
      </c>
      <c r="E10">
        <v>-99</v>
      </c>
      <c r="F10">
        <v>-99</v>
      </c>
      <c r="G10">
        <v>11</v>
      </c>
      <c r="H10">
        <v>4</v>
      </c>
      <c r="I10">
        <v>-99</v>
      </c>
      <c r="J10">
        <v>25</v>
      </c>
      <c r="K10">
        <v>1.2640500000000001E-3</v>
      </c>
      <c r="L10">
        <v>9.9606399999999998E-2</v>
      </c>
      <c r="M10">
        <v>1</v>
      </c>
      <c r="N10">
        <v>-1.26538E-3</v>
      </c>
      <c r="O10">
        <v>-0.63520799999999999</v>
      </c>
      <c r="P10" s="1">
        <v>6.6273000000000001E-7</v>
      </c>
      <c r="Q10" s="1">
        <v>6.7197999999999996E-7</v>
      </c>
      <c r="R10" s="1">
        <v>1.8914000000000001E-11</v>
      </c>
      <c r="S10" s="1">
        <v>2.4488E-20</v>
      </c>
      <c r="T10" s="1">
        <f t="shared" si="0"/>
        <v>1.3347289140000245E-6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Bullen, Jay</dc:creator>
  <cp:lastModifiedBy>Weiss, Dominik J</cp:lastModifiedBy>
  <dcterms:created xsi:type="dcterms:W3CDTF">2019-03-12T19:15:52Z</dcterms:created>
  <dcterms:modified xsi:type="dcterms:W3CDTF">2024-05-17T10:33:33Z</dcterms:modified>
</cp:coreProperties>
</file>