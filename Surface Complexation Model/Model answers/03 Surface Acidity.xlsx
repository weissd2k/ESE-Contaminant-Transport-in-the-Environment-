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eissd2k_ic_ac_uk/Documents/4 Teaching/Lectures/LabCourseEnvironGeochemistry ESE 50012/Modules/Ch 12 Surface Complexation Models/Model answers PHREEQC/"/>
    </mc:Choice>
  </mc:AlternateContent>
  <xr:revisionPtr revIDLastSave="8" documentId="11_7B058B817E3D45725B8DFB20059CB52762F2CD48" xr6:coauthVersionLast="47" xr6:coauthVersionMax="47" xr10:uidLastSave="{F0DF8405-4AAB-4F12-B3B1-09F52A3078AC}"/>
  <bookViews>
    <workbookView xWindow="-108" yWindow="-108" windowWidth="23256" windowHeight="13896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</calcChain>
</file>

<file path=xl/sharedStrings.xml><?xml version="1.0" encoding="utf-8"?>
<sst xmlns="http://schemas.openxmlformats.org/spreadsheetml/2006/main" count="37" uniqueCount="21">
  <si>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</si>
  <si>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</si>
  <si>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</si>
  <si>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</si>
  <si>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</si>
  <si>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</si>
  <si>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</si>
  <si>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</si>
  <si>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reaction</t>
  </si>
  <si>
    <t xml:space="preserve">        temp</t>
  </si>
  <si>
    <t xml:space="preserve">         Alk</t>
  </si>
  <si>
    <t xml:space="preserve">          mu</t>
  </si>
  <si>
    <t xml:space="preserve">    mass_H2O</t>
  </si>
  <si>
    <t xml:space="preserve">      charge</t>
  </si>
  <si>
    <t xml:space="preserve">     pct_err</t>
  </si>
  <si>
    <t xml:space="preserve">   m_Surf_OH</t>
  </si>
  <si>
    <t xml:space="preserve"> m_Surf_OH2+</t>
  </si>
  <si>
    <t xml:space="preserve">   m_Surf_O-</t>
  </si>
  <si>
    <t xml:space="preserve">      i_soln</t>
  </si>
  <si>
    <t xml:space="preserve">       react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</si>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</sst>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Q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output!$G$3:$G$19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output!$U$3:$U$19</c:f>
              <c:numCache>
                <c:formatCode>0.00E+00</c:formatCode>
                <c:ptCount val="17"/>
                <c:pt idx="0">
                  <c:v>8.8772918614999995E-5</c:v>
                </c:pt>
                <c:pt idx="1">
                  <c:v>8.7010263420000001E-5</c:v>
                </c:pt>
                <c:pt idx="2">
                  <c:v>8.2499346499999995E-5</c:v>
                </c:pt>
                <c:pt idx="3">
                  <c:v>7.3541040999999991E-5</c:v>
                </c:pt>
                <c:pt idx="4">
                  <c:v>6.0695320000000003E-5</c:v>
                </c:pt>
                <c:pt idx="5">
                  <c:v>4.6776390000000001E-5</c:v>
                </c:pt>
                <c:pt idx="6">
                  <c:v>3.4189390000000001E-5</c:v>
                </c:pt>
                <c:pt idx="7">
                  <c:v>2.3876600000000001E-5</c:v>
                </c:pt>
                <c:pt idx="8">
                  <c:v>1.5793900000000001E-5</c:v>
                </c:pt>
                <c:pt idx="9">
                  <c:v>9.4886999999999995E-6</c:v>
                </c:pt>
                <c:pt idx="10">
                  <c:v>4.3952000000000007E-6</c:v>
                </c:pt>
                <c:pt idx="11">
                  <c:v>-8.7700000000000024E-8</c:v>
                </c:pt>
                <c:pt idx="12">
                  <c:v>-4.5834E-6</c:v>
                </c:pt>
                <c:pt idx="13">
                  <c:v>-9.7153E-6</c:v>
                </c:pt>
                <c:pt idx="14">
                  <c:v>-1.60867E-5</c:v>
                </c:pt>
                <c:pt idx="15">
                  <c:v>-2.4274499999999999E-5</c:v>
                </c:pt>
                <c:pt idx="16">
                  <c:v>-3.4773989999999995E-5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6C-4508-A111-F71BF2C91C29}"/>
            </c:ext>
          </c:extLst>
        </c:ser>
        <c:ser>
          <c:idx val="1"/>
          <c:order val="1"/>
          <c:tx>
            <c:strRef>
              <c:f>output!$P$1</c:f>
              <c:strCache>
                <c:ptCount val="1"/>
                <c:pt idx="0">
                  <c:v>   m_Surf_OH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output!$G$3:$G$19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output!$P$3:$P$19</c:f>
              <c:numCache>
                <c:formatCode>0.00E+00</c:formatCode>
                <c:ptCount val="17"/>
                <c:pt idx="0">
                  <c:v>8.9004999999999995E-7</c:v>
                </c:pt>
                <c:pt idx="1">
                  <c:v>2.6508999999999999E-6</c:v>
                </c:pt>
                <c:pt idx="2">
                  <c:v>7.1515000000000001E-6</c:v>
                </c:pt>
                <c:pt idx="3">
                  <c:v>1.6056999999999999E-5</c:v>
                </c:pt>
                <c:pt idx="4">
                  <c:v>2.8719000000000001E-5</c:v>
                </c:pt>
                <c:pt idx="5">
                  <c:v>4.2196000000000001E-5</c:v>
                </c:pt>
                <c:pt idx="6">
                  <c:v>5.3953000000000003E-5</c:v>
                </c:pt>
                <c:pt idx="7">
                  <c:v>6.2930999999999998E-5</c:v>
                </c:pt>
                <c:pt idx="8">
                  <c:v>6.9082E-5</c:v>
                </c:pt>
                <c:pt idx="9">
                  <c:v>7.2824000000000006E-5</c:v>
                </c:pt>
                <c:pt idx="10">
                  <c:v>7.4727000000000005E-5</c:v>
                </c:pt>
                <c:pt idx="11">
                  <c:v>7.5282000000000002E-5</c:v>
                </c:pt>
                <c:pt idx="12">
                  <c:v>7.4679999999999996E-5</c:v>
                </c:pt>
                <c:pt idx="13">
                  <c:v>7.2712000000000004E-5</c:v>
                </c:pt>
                <c:pt idx="14">
                  <c:v>6.8880000000000005E-5</c:v>
                </c:pt>
                <c:pt idx="15">
                  <c:v>6.2601999999999995E-5</c:v>
                </c:pt>
                <c:pt idx="16">
                  <c:v>5.3421000000000002E-5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6C-4508-A111-F71BF2C91C29}"/>
            </c:ext>
          </c:extLst>
        </c:ser>
        <c:ser>
          <c:idx val="2"/>
          <c:order val="2"/>
          <c:tx>
            <c:strRef>
              <c:f>output!$Q$1</c:f>
              <c:strCache>
                <c:ptCount val="1"/>
                <c:pt idx="0">
                  <c:v> m_Surf_OH2+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output!$G$3:$G$19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output!$Q$3:$Q$19</c:f>
              <c:numCache>
                <c:formatCode>0.00E+00</c:formatCode>
                <c:ptCount val="17"/>
                <c:pt idx="0">
                  <c:v>8.8772999999999999E-5</c:v>
                </c:pt>
                <c:pt idx="1">
                  <c:v>8.7010999999999998E-5</c:v>
                </c:pt>
                <c:pt idx="2">
                  <c:v>8.2504999999999997E-5</c:v>
                </c:pt>
                <c:pt idx="3">
                  <c:v>7.3572999999999995E-5</c:v>
                </c:pt>
                <c:pt idx="4">
                  <c:v>6.0819000000000002E-5</c:v>
                </c:pt>
                <c:pt idx="5">
                  <c:v>4.7120999999999998E-5</c:v>
                </c:pt>
                <c:pt idx="6">
                  <c:v>3.4949E-5</c:v>
                </c:pt>
                <c:pt idx="7">
                  <c:v>2.5304E-5</c:v>
                </c:pt>
                <c:pt idx="8">
                  <c:v>1.8187000000000001E-5</c:v>
                </c:pt>
                <c:pt idx="9">
                  <c:v>1.3162999999999999E-5</c:v>
                </c:pt>
                <c:pt idx="10">
                  <c:v>9.6647000000000008E-6</c:v>
                </c:pt>
                <c:pt idx="11">
                  <c:v>7.1457E-6</c:v>
                </c:pt>
                <c:pt idx="12">
                  <c:v>5.1993000000000003E-6</c:v>
                </c:pt>
                <c:pt idx="13">
                  <c:v>3.6167E-6</c:v>
                </c:pt>
                <c:pt idx="14">
                  <c:v>2.3473E-6</c:v>
                </c:pt>
                <c:pt idx="15">
                  <c:v>1.3925E-6</c:v>
                </c:pt>
                <c:pt idx="16">
                  <c:v>7.3300999999999997E-7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6C-4508-A111-F71BF2C91C29}"/>
            </c:ext>
          </c:extLst>
        </c:ser>
        <c:ser>
          <c:idx val="3"/>
          <c:order val="3"/>
          <c:tx>
            <c:strRef>
              <c:f>output!$R$1</c:f>
              <c:strCache>
                <c:ptCount val="1"/>
                <c:pt idx="0">
                  <c:v>   m_Surf_O-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output!$G$3:$G$19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output!$R$3:$R$19</c:f>
              <c:numCache>
                <c:formatCode>0.00E+00</c:formatCode>
                <c:ptCount val="17"/>
                <c:pt idx="0">
                  <c:v>8.1384999999999999E-11</c:v>
                </c:pt>
                <c:pt idx="1">
                  <c:v>7.3657999999999995E-10</c:v>
                </c:pt>
                <c:pt idx="2">
                  <c:v>5.6535E-9</c:v>
                </c:pt>
                <c:pt idx="3">
                  <c:v>3.1959000000000002E-8</c:v>
                </c:pt>
                <c:pt idx="4">
                  <c:v>1.2368000000000001E-7</c:v>
                </c:pt>
                <c:pt idx="5">
                  <c:v>3.4461000000000001E-7</c:v>
                </c:pt>
                <c:pt idx="6">
                  <c:v>7.5960999999999996E-7</c:v>
                </c:pt>
                <c:pt idx="7">
                  <c:v>1.4274000000000001E-6</c:v>
                </c:pt>
                <c:pt idx="8">
                  <c:v>2.3931E-6</c:v>
                </c:pt>
                <c:pt idx="9">
                  <c:v>3.6743000000000001E-6</c:v>
                </c:pt>
                <c:pt idx="10">
                  <c:v>5.2695000000000001E-6</c:v>
                </c:pt>
                <c:pt idx="11">
                  <c:v>7.2334000000000001E-6</c:v>
                </c:pt>
                <c:pt idx="12">
                  <c:v>9.7827000000000004E-6</c:v>
                </c:pt>
                <c:pt idx="13">
                  <c:v>1.3332E-5</c:v>
                </c:pt>
                <c:pt idx="14">
                  <c:v>1.8434E-5</c:v>
                </c:pt>
                <c:pt idx="15">
                  <c:v>2.5667E-5</c:v>
                </c:pt>
                <c:pt idx="16">
                  <c:v>3.5506999999999997E-5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6C-4508-A111-F71BF2C91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265488"/>
        <c:axId val="643132568"/>
      </c:scatterChart>
      <c:valAx>
        <c:axId val="631265488"/>
        <c:scaling>
          <c:orientation val="minMax"/>
          <c:max val="11"/>
          <c:min val="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32568"/>
        <c:crosses val="autoZero"/>
        <c:crossBetween val="midCat"/>
      </c:valAx>
      <c:valAx>
        <c:axId val="643132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6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0</xdr:rowOff>
    </xdr:from>
    <xdr:to>
      <xdr:col>11</xdr:col>
      <xdr:colOff>426720</xdr:colOff>
      <xdr:row>41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topLeftCell="A13" workbookViewId="0">
      <selection activeCell="U3" sqref="U3"/>
    </sheetView>
  </sheetViews>
  <sheetFormatPr defaultRowHeight="14.4" x14ac:dyDescent="0.3"/>
  <cols>
    <col min="16" max="16" width="11.6640625" bestFit="1" customWidth="1"/>
    <col min="17" max="17" width="12.77734375" bestFit="1" customWidth="1"/>
    <col min="18" max="18" width="11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  <c r="R1" s="2" t="s">
        <v>17</v>
      </c>
      <c r="U1" s="4" t="s">
        <v>20</v>
      </c>
    </row>
    <row r="2" spans="1:21" x14ac:dyDescent="0.3">
      <c r="A2">
        <v>5</v>
      </c>
      <c r="B2" t="s">
        <v>18</v>
      </c>
      <c r="C2">
        <v>1</v>
      </c>
      <c r="D2">
        <v>-99</v>
      </c>
      <c r="E2">
        <v>-99</v>
      </c>
      <c r="F2">
        <v>-99</v>
      </c>
      <c r="G2">
        <v>3</v>
      </c>
      <c r="H2">
        <v>4</v>
      </c>
      <c r="I2">
        <v>-99</v>
      </c>
      <c r="J2">
        <v>25</v>
      </c>
      <c r="K2">
        <v>-1.2174200000000001E-3</v>
      </c>
      <c r="L2">
        <v>9.9575499999999997E-2</v>
      </c>
      <c r="M2">
        <v>1</v>
      </c>
      <c r="N2">
        <v>1.2174200000000001E-3</v>
      </c>
      <c r="O2">
        <v>0.61130300000000004</v>
      </c>
      <c r="P2" s="3">
        <v>0</v>
      </c>
      <c r="Q2" s="3">
        <v>0</v>
      </c>
      <c r="R2" s="3">
        <v>0</v>
      </c>
      <c r="U2" s="4"/>
    </row>
    <row r="3" spans="1:21" x14ac:dyDescent="0.3">
      <c r="A3">
        <v>7</v>
      </c>
      <c r="B3" t="s">
        <v>19</v>
      </c>
      <c r="C3">
        <v>1</v>
      </c>
      <c r="D3">
        <v>-99</v>
      </c>
      <c r="E3">
        <v>0</v>
      </c>
      <c r="F3">
        <v>1</v>
      </c>
      <c r="G3">
        <v>3</v>
      </c>
      <c r="H3">
        <v>15.218400000000001</v>
      </c>
      <c r="I3">
        <v>-99</v>
      </c>
      <c r="J3">
        <v>25</v>
      </c>
      <c r="K3">
        <v>-1.2174E-3</v>
      </c>
      <c r="L3">
        <v>9.9532099999999998E-2</v>
      </c>
      <c r="M3">
        <v>0.99999800000000005</v>
      </c>
      <c r="N3">
        <v>1.12864E-3</v>
      </c>
      <c r="O3">
        <v>0.56697500000000001</v>
      </c>
      <c r="P3" s="3">
        <v>8.9004999999999995E-7</v>
      </c>
      <c r="Q3" s="3">
        <v>8.8772999999999999E-5</v>
      </c>
      <c r="R3" s="3">
        <v>8.1384999999999999E-11</v>
      </c>
      <c r="U3" s="5">
        <f>Q3-R3</f>
        <v>8.8772918614999995E-5</v>
      </c>
    </row>
    <row r="4" spans="1:21" x14ac:dyDescent="0.3">
      <c r="A4">
        <v>8</v>
      </c>
      <c r="B4" t="s">
        <v>19</v>
      </c>
      <c r="C4">
        <v>1</v>
      </c>
      <c r="D4">
        <v>-99</v>
      </c>
      <c r="E4">
        <v>0</v>
      </c>
      <c r="F4">
        <v>1</v>
      </c>
      <c r="G4">
        <v>3.5</v>
      </c>
      <c r="H4">
        <v>14.7796</v>
      </c>
      <c r="I4">
        <v>-99</v>
      </c>
      <c r="J4">
        <v>25</v>
      </c>
      <c r="K4">
        <v>-3.8497500000000002E-4</v>
      </c>
      <c r="L4">
        <v>9.9534600000000001E-2</v>
      </c>
      <c r="M4">
        <v>1.0000100000000001</v>
      </c>
      <c r="N4">
        <v>1.1304100000000001E-3</v>
      </c>
      <c r="O4">
        <v>0.56783799999999995</v>
      </c>
      <c r="P4" s="3">
        <v>2.6508999999999999E-6</v>
      </c>
      <c r="Q4" s="3">
        <v>8.7010999999999998E-5</v>
      </c>
      <c r="R4" s="3">
        <v>7.3657999999999995E-10</v>
      </c>
      <c r="U4" s="5">
        <f t="shared" ref="U4:U19" si="0">Q4-R4</f>
        <v>8.7010263420000001E-5</v>
      </c>
    </row>
    <row r="5" spans="1:21" x14ac:dyDescent="0.3">
      <c r="A5">
        <v>9</v>
      </c>
      <c r="B5" t="s">
        <v>19</v>
      </c>
      <c r="C5">
        <v>1</v>
      </c>
      <c r="D5">
        <v>-99</v>
      </c>
      <c r="E5">
        <v>0</v>
      </c>
      <c r="F5">
        <v>1</v>
      </c>
      <c r="G5">
        <v>4</v>
      </c>
      <c r="H5">
        <v>14.3498</v>
      </c>
      <c r="I5">
        <v>-99</v>
      </c>
      <c r="J5">
        <v>25</v>
      </c>
      <c r="K5">
        <v>-1.2174E-4</v>
      </c>
      <c r="L5">
        <v>9.9537299999999995E-2</v>
      </c>
      <c r="M5">
        <v>1.0000199999999999</v>
      </c>
      <c r="N5">
        <v>1.13492E-3</v>
      </c>
      <c r="O5">
        <v>0.57008499999999995</v>
      </c>
      <c r="P5" s="3">
        <v>7.1515000000000001E-6</v>
      </c>
      <c r="Q5" s="3">
        <v>8.2504999999999997E-5</v>
      </c>
      <c r="R5" s="3">
        <v>5.6535E-9</v>
      </c>
      <c r="U5" s="5">
        <f t="shared" si="0"/>
        <v>8.2499346499999995E-5</v>
      </c>
    </row>
    <row r="6" spans="1:21" x14ac:dyDescent="0.3">
      <c r="A6">
        <v>10</v>
      </c>
      <c r="B6" t="s">
        <v>19</v>
      </c>
      <c r="C6">
        <v>1</v>
      </c>
      <c r="D6">
        <v>-99</v>
      </c>
      <c r="E6">
        <v>0</v>
      </c>
      <c r="F6">
        <v>1</v>
      </c>
      <c r="G6">
        <v>4.5</v>
      </c>
      <c r="H6">
        <v>13.742100000000001</v>
      </c>
      <c r="I6">
        <v>-99</v>
      </c>
      <c r="J6">
        <v>25</v>
      </c>
      <c r="K6" s="1">
        <v>-3.8497200000000001E-5</v>
      </c>
      <c r="L6">
        <v>9.95418E-2</v>
      </c>
      <c r="M6">
        <v>1.0000199999999999</v>
      </c>
      <c r="N6">
        <v>1.14387E-3</v>
      </c>
      <c r="O6">
        <v>0.57455800000000001</v>
      </c>
      <c r="P6" s="3">
        <v>1.6056999999999999E-5</v>
      </c>
      <c r="Q6" s="3">
        <v>7.3572999999999995E-5</v>
      </c>
      <c r="R6" s="3">
        <v>3.1959000000000002E-8</v>
      </c>
      <c r="U6" s="5">
        <f t="shared" si="0"/>
        <v>7.3541040999999991E-5</v>
      </c>
    </row>
    <row r="7" spans="1:21" x14ac:dyDescent="0.3">
      <c r="A7">
        <v>11</v>
      </c>
      <c r="B7" t="s">
        <v>19</v>
      </c>
      <c r="C7">
        <v>1</v>
      </c>
      <c r="D7">
        <v>-99</v>
      </c>
      <c r="E7">
        <v>0</v>
      </c>
      <c r="F7">
        <v>1</v>
      </c>
      <c r="G7">
        <v>5</v>
      </c>
      <c r="H7">
        <v>13.4245</v>
      </c>
      <c r="I7">
        <v>-99</v>
      </c>
      <c r="J7">
        <v>25</v>
      </c>
      <c r="K7" s="1">
        <v>-1.21728E-5</v>
      </c>
      <c r="L7">
        <v>9.9548200000000003E-2</v>
      </c>
      <c r="M7">
        <v>1.0000199999999999</v>
      </c>
      <c r="N7">
        <v>1.15672E-3</v>
      </c>
      <c r="O7">
        <v>0.58097299999999996</v>
      </c>
      <c r="P7" s="3">
        <v>2.8719000000000001E-5</v>
      </c>
      <c r="Q7" s="3">
        <v>6.0819000000000002E-5</v>
      </c>
      <c r="R7" s="3">
        <v>1.2368000000000001E-7</v>
      </c>
      <c r="U7" s="5">
        <f t="shared" si="0"/>
        <v>6.0695320000000003E-5</v>
      </c>
    </row>
    <row r="8" spans="1:21" x14ac:dyDescent="0.3">
      <c r="A8">
        <v>12</v>
      </c>
      <c r="B8" t="s">
        <v>19</v>
      </c>
      <c r="C8">
        <v>1</v>
      </c>
      <c r="D8">
        <v>-99</v>
      </c>
      <c r="E8">
        <v>0</v>
      </c>
      <c r="F8">
        <v>1</v>
      </c>
      <c r="G8">
        <v>5.5</v>
      </c>
      <c r="H8">
        <v>13.052</v>
      </c>
      <c r="I8">
        <v>-99</v>
      </c>
      <c r="J8">
        <v>25</v>
      </c>
      <c r="K8" s="1">
        <v>-3.8457899999999998E-6</v>
      </c>
      <c r="L8">
        <v>9.9555000000000005E-2</v>
      </c>
      <c r="M8">
        <v>1.0000199999999999</v>
      </c>
      <c r="N8">
        <v>1.1706399999999999E-3</v>
      </c>
      <c r="O8">
        <v>0.58792299999999997</v>
      </c>
      <c r="P8" s="3">
        <v>4.2196000000000001E-5</v>
      </c>
      <c r="Q8" s="3">
        <v>4.7120999999999998E-5</v>
      </c>
      <c r="R8" s="3">
        <v>3.4461000000000001E-7</v>
      </c>
      <c r="U8" s="5">
        <f t="shared" si="0"/>
        <v>4.6776390000000001E-5</v>
      </c>
    </row>
    <row r="9" spans="1:21" x14ac:dyDescent="0.3">
      <c r="A9">
        <v>13</v>
      </c>
      <c r="B9" t="s">
        <v>19</v>
      </c>
      <c r="C9">
        <v>1</v>
      </c>
      <c r="D9">
        <v>-99</v>
      </c>
      <c r="E9">
        <v>0</v>
      </c>
      <c r="F9">
        <v>1</v>
      </c>
      <c r="G9">
        <v>6</v>
      </c>
      <c r="H9">
        <v>12.709899999999999</v>
      </c>
      <c r="I9">
        <v>-99</v>
      </c>
      <c r="J9">
        <v>25</v>
      </c>
      <c r="K9" s="1">
        <v>-1.20479E-6</v>
      </c>
      <c r="L9">
        <v>9.95611E-2</v>
      </c>
      <c r="M9">
        <v>1.0000199999999999</v>
      </c>
      <c r="N9">
        <v>1.18323E-3</v>
      </c>
      <c r="O9">
        <v>0.59420799999999996</v>
      </c>
      <c r="P9" s="3">
        <v>5.3953000000000003E-5</v>
      </c>
      <c r="Q9" s="3">
        <v>3.4949E-5</v>
      </c>
      <c r="R9" s="3">
        <v>7.5960999999999996E-7</v>
      </c>
      <c r="U9" s="5">
        <f t="shared" si="0"/>
        <v>3.4189390000000001E-5</v>
      </c>
    </row>
    <row r="10" spans="1:21" x14ac:dyDescent="0.3">
      <c r="A10">
        <v>14</v>
      </c>
      <c r="B10" t="s">
        <v>19</v>
      </c>
      <c r="C10">
        <v>1</v>
      </c>
      <c r="D10">
        <v>-99</v>
      </c>
      <c r="E10">
        <v>0</v>
      </c>
      <c r="F10">
        <v>1</v>
      </c>
      <c r="G10">
        <v>6.5</v>
      </c>
      <c r="H10">
        <v>12.2156</v>
      </c>
      <c r="I10">
        <v>-99</v>
      </c>
      <c r="J10">
        <v>25</v>
      </c>
      <c r="K10" s="1">
        <v>-3.4506699999999998E-7</v>
      </c>
      <c r="L10">
        <v>9.9566199999999994E-2</v>
      </c>
      <c r="M10">
        <v>1.0000199999999999</v>
      </c>
      <c r="N10">
        <v>1.1935400000000001E-3</v>
      </c>
      <c r="O10">
        <v>0.59935700000000003</v>
      </c>
      <c r="P10" s="3">
        <v>6.2930999999999998E-5</v>
      </c>
      <c r="Q10" s="3">
        <v>2.5304E-5</v>
      </c>
      <c r="R10" s="3">
        <v>1.4274000000000001E-6</v>
      </c>
      <c r="U10" s="5">
        <f t="shared" si="0"/>
        <v>2.3876600000000001E-5</v>
      </c>
    </row>
    <row r="11" spans="1:21" x14ac:dyDescent="0.3">
      <c r="A11">
        <v>15</v>
      </c>
      <c r="B11" t="s">
        <v>19</v>
      </c>
      <c r="C11">
        <v>1</v>
      </c>
      <c r="D11">
        <v>-99</v>
      </c>
      <c r="E11">
        <v>0</v>
      </c>
      <c r="F11">
        <v>1</v>
      </c>
      <c r="G11">
        <v>7</v>
      </c>
      <c r="H11">
        <v>11.5305</v>
      </c>
      <c r="I11">
        <v>-99</v>
      </c>
      <c r="J11">
        <v>25</v>
      </c>
      <c r="K11" s="1">
        <v>4.47496E-9</v>
      </c>
      <c r="L11">
        <v>9.95703E-2</v>
      </c>
      <c r="M11">
        <v>1.0000199999999999</v>
      </c>
      <c r="N11">
        <v>1.20162E-3</v>
      </c>
      <c r="O11">
        <v>0.60339100000000001</v>
      </c>
      <c r="P11" s="3">
        <v>6.9082E-5</v>
      </c>
      <c r="Q11" s="3">
        <v>1.8187000000000001E-5</v>
      </c>
      <c r="R11" s="3">
        <v>2.3931E-6</v>
      </c>
      <c r="U11" s="5">
        <f t="shared" si="0"/>
        <v>1.5793900000000001E-5</v>
      </c>
    </row>
    <row r="12" spans="1:21" x14ac:dyDescent="0.3">
      <c r="A12">
        <v>16</v>
      </c>
      <c r="B12" t="s">
        <v>19</v>
      </c>
      <c r="C12">
        <v>1</v>
      </c>
      <c r="D12">
        <v>-99</v>
      </c>
      <c r="E12">
        <v>0</v>
      </c>
      <c r="F12">
        <v>1</v>
      </c>
      <c r="G12">
        <v>7.5</v>
      </c>
      <c r="H12">
        <v>10.948499999999999</v>
      </c>
      <c r="I12">
        <v>-99</v>
      </c>
      <c r="J12">
        <v>25</v>
      </c>
      <c r="K12" s="1">
        <v>3.60635E-7</v>
      </c>
      <c r="L12">
        <v>9.9573599999999998E-2</v>
      </c>
      <c r="M12">
        <v>1.0000199999999999</v>
      </c>
      <c r="N12">
        <v>1.2079300000000001E-3</v>
      </c>
      <c r="O12">
        <v>0.60653599999999996</v>
      </c>
      <c r="P12" s="3">
        <v>7.2824000000000006E-5</v>
      </c>
      <c r="Q12" s="3">
        <v>1.3162999999999999E-5</v>
      </c>
      <c r="R12" s="3">
        <v>3.6743000000000001E-6</v>
      </c>
      <c r="U12" s="5">
        <f t="shared" si="0"/>
        <v>9.4886999999999995E-6</v>
      </c>
    </row>
    <row r="13" spans="1:21" x14ac:dyDescent="0.3">
      <c r="A13">
        <v>17</v>
      </c>
      <c r="B13" t="s">
        <v>19</v>
      </c>
      <c r="C13">
        <v>1</v>
      </c>
      <c r="D13">
        <v>-99</v>
      </c>
      <c r="E13">
        <v>0</v>
      </c>
      <c r="F13">
        <v>1</v>
      </c>
      <c r="G13">
        <v>8</v>
      </c>
      <c r="H13">
        <v>10.290800000000001</v>
      </c>
      <c r="I13">
        <v>-99</v>
      </c>
      <c r="J13">
        <v>25</v>
      </c>
      <c r="K13" s="1">
        <v>1.2500000000000001E-6</v>
      </c>
      <c r="L13">
        <v>9.9576899999999996E-2</v>
      </c>
      <c r="M13">
        <v>1.0000199999999999</v>
      </c>
      <c r="N13">
        <v>1.21302E-3</v>
      </c>
      <c r="O13">
        <v>0.609074</v>
      </c>
      <c r="P13" s="3">
        <v>7.4727000000000005E-5</v>
      </c>
      <c r="Q13" s="3">
        <v>9.6647000000000008E-6</v>
      </c>
      <c r="R13" s="3">
        <v>5.2695000000000001E-6</v>
      </c>
      <c r="U13" s="5">
        <f t="shared" si="0"/>
        <v>4.3952000000000007E-6</v>
      </c>
    </row>
    <row r="14" spans="1:21" x14ac:dyDescent="0.3">
      <c r="A14">
        <v>18</v>
      </c>
      <c r="B14" t="s">
        <v>19</v>
      </c>
      <c r="C14">
        <v>1</v>
      </c>
      <c r="D14">
        <v>-99</v>
      </c>
      <c r="E14">
        <v>0</v>
      </c>
      <c r="F14">
        <v>1</v>
      </c>
      <c r="G14">
        <v>8.5</v>
      </c>
      <c r="H14">
        <v>9.6270299999999995</v>
      </c>
      <c r="I14">
        <v>-99</v>
      </c>
      <c r="J14">
        <v>25</v>
      </c>
      <c r="K14" s="1">
        <v>3.9875100000000002E-6</v>
      </c>
      <c r="L14">
        <v>9.9581799999999998E-2</v>
      </c>
      <c r="M14">
        <v>1.0000199999999999</v>
      </c>
      <c r="N14">
        <v>1.2175E-3</v>
      </c>
      <c r="O14">
        <v>0.61129500000000003</v>
      </c>
      <c r="P14" s="3">
        <v>7.5282000000000002E-5</v>
      </c>
      <c r="Q14" s="3">
        <v>7.1457E-6</v>
      </c>
      <c r="R14" s="3">
        <v>7.2334000000000001E-6</v>
      </c>
      <c r="U14" s="5">
        <f t="shared" si="0"/>
        <v>-8.7700000000000024E-8</v>
      </c>
    </row>
    <row r="15" spans="1:21" x14ac:dyDescent="0.3">
      <c r="A15">
        <v>19</v>
      </c>
      <c r="B15" t="s">
        <v>19</v>
      </c>
      <c r="C15">
        <v>1</v>
      </c>
      <c r="D15">
        <v>-99</v>
      </c>
      <c r="E15">
        <v>0</v>
      </c>
      <c r="F15">
        <v>1</v>
      </c>
      <c r="G15">
        <v>9</v>
      </c>
      <c r="H15">
        <v>9.0998000000000001</v>
      </c>
      <c r="I15">
        <v>-99</v>
      </c>
      <c r="J15">
        <v>25</v>
      </c>
      <c r="K15" s="1">
        <v>1.2620699999999999E-5</v>
      </c>
      <c r="L15">
        <v>9.95925E-2</v>
      </c>
      <c r="M15">
        <v>1.0000199999999999</v>
      </c>
      <c r="N15">
        <v>1.222E-3</v>
      </c>
      <c r="O15">
        <v>0.61348599999999998</v>
      </c>
      <c r="P15" s="3">
        <v>7.4679999999999996E-5</v>
      </c>
      <c r="Q15" s="3">
        <v>5.1993000000000003E-6</v>
      </c>
      <c r="R15" s="3">
        <v>9.7827000000000004E-6</v>
      </c>
      <c r="U15" s="5">
        <f t="shared" si="0"/>
        <v>-4.5834E-6</v>
      </c>
    </row>
    <row r="16" spans="1:21" x14ac:dyDescent="0.3">
      <c r="A16">
        <v>20</v>
      </c>
      <c r="B16" t="s">
        <v>19</v>
      </c>
      <c r="C16">
        <v>1</v>
      </c>
      <c r="D16">
        <v>-99</v>
      </c>
      <c r="E16">
        <v>0</v>
      </c>
      <c r="F16">
        <v>1</v>
      </c>
      <c r="G16">
        <v>9.5</v>
      </c>
      <c r="H16">
        <v>8.5647699999999993</v>
      </c>
      <c r="I16">
        <v>-99</v>
      </c>
      <c r="J16">
        <v>25</v>
      </c>
      <c r="K16" s="1">
        <v>3.9914799999999999E-5</v>
      </c>
      <c r="L16">
        <v>9.9621799999999996E-2</v>
      </c>
      <c r="M16">
        <v>1.0000199999999999</v>
      </c>
      <c r="N16">
        <v>1.2271300000000001E-3</v>
      </c>
      <c r="O16">
        <v>0.61588200000000004</v>
      </c>
      <c r="P16" s="3">
        <v>7.2712000000000004E-5</v>
      </c>
      <c r="Q16" s="3">
        <v>3.6167E-6</v>
      </c>
      <c r="R16" s="3">
        <v>1.3332E-5</v>
      </c>
      <c r="U16" s="5">
        <f t="shared" si="0"/>
        <v>-9.7153E-6</v>
      </c>
    </row>
    <row r="17" spans="1:21" x14ac:dyDescent="0.3">
      <c r="A17">
        <v>21</v>
      </c>
      <c r="B17" t="s">
        <v>19</v>
      </c>
      <c r="C17">
        <v>1</v>
      </c>
      <c r="D17">
        <v>-99</v>
      </c>
      <c r="E17">
        <v>0</v>
      </c>
      <c r="F17">
        <v>1</v>
      </c>
      <c r="G17">
        <v>10</v>
      </c>
      <c r="H17">
        <v>7.9695900000000002</v>
      </c>
      <c r="I17">
        <v>-99</v>
      </c>
      <c r="J17">
        <v>25</v>
      </c>
      <c r="K17">
        <v>1.2623300000000001E-4</v>
      </c>
      <c r="L17">
        <v>9.9709599999999995E-2</v>
      </c>
      <c r="M17">
        <v>1.0000199999999999</v>
      </c>
      <c r="N17">
        <v>1.2335E-3</v>
      </c>
      <c r="O17">
        <v>0.61853400000000003</v>
      </c>
      <c r="P17" s="3">
        <v>6.8880000000000005E-5</v>
      </c>
      <c r="Q17" s="3">
        <v>2.3473E-6</v>
      </c>
      <c r="R17" s="3">
        <v>1.8434E-5</v>
      </c>
      <c r="U17" s="5">
        <f t="shared" si="0"/>
        <v>-1.60867E-5</v>
      </c>
    </row>
    <row r="18" spans="1:21" x14ac:dyDescent="0.3">
      <c r="A18">
        <v>22</v>
      </c>
      <c r="B18" t="s">
        <v>19</v>
      </c>
      <c r="C18">
        <v>1</v>
      </c>
      <c r="D18">
        <v>-99</v>
      </c>
      <c r="E18">
        <v>0</v>
      </c>
      <c r="F18">
        <v>1</v>
      </c>
      <c r="G18">
        <v>10.5</v>
      </c>
      <c r="H18">
        <v>7.4555199999999999</v>
      </c>
      <c r="I18">
        <v>-99</v>
      </c>
      <c r="J18">
        <v>25</v>
      </c>
      <c r="K18">
        <v>3.9928899999999999E-4</v>
      </c>
      <c r="L18">
        <v>9.9981700000000007E-2</v>
      </c>
      <c r="M18">
        <v>1.0000199999999999</v>
      </c>
      <c r="N18">
        <v>1.2416899999999999E-3</v>
      </c>
      <c r="O18">
        <v>0.62094499999999997</v>
      </c>
      <c r="P18" s="3">
        <v>6.2601999999999995E-5</v>
      </c>
      <c r="Q18" s="3">
        <v>1.3925E-6</v>
      </c>
      <c r="R18" s="3">
        <v>2.5667E-5</v>
      </c>
      <c r="U18" s="5">
        <f t="shared" si="0"/>
        <v>-2.4274499999999999E-5</v>
      </c>
    </row>
    <row r="19" spans="1:21" x14ac:dyDescent="0.3">
      <c r="A19">
        <v>23</v>
      </c>
      <c r="B19" t="s">
        <v>19</v>
      </c>
      <c r="C19">
        <v>1</v>
      </c>
      <c r="D19">
        <v>-99</v>
      </c>
      <c r="E19">
        <v>0</v>
      </c>
      <c r="F19">
        <v>1</v>
      </c>
      <c r="G19">
        <v>11</v>
      </c>
      <c r="H19">
        <v>6.9169200000000002</v>
      </c>
      <c r="I19">
        <v>-99</v>
      </c>
      <c r="J19">
        <v>25</v>
      </c>
      <c r="K19">
        <v>1.26369E-3</v>
      </c>
      <c r="L19">
        <v>0.10083499999999999</v>
      </c>
      <c r="M19">
        <v>1.0000199999999999</v>
      </c>
      <c r="N19">
        <v>1.25219E-3</v>
      </c>
      <c r="O19">
        <v>0.62089499999999997</v>
      </c>
      <c r="P19" s="3">
        <v>5.3421000000000002E-5</v>
      </c>
      <c r="Q19" s="3">
        <v>7.3300999999999997E-7</v>
      </c>
      <c r="R19" s="3">
        <v>3.5506999999999997E-5</v>
      </c>
      <c r="U19" s="5">
        <f t="shared" si="0"/>
        <v>-3.4773989999999995E-5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Bullen, Jay</dc:creator>
  <cp:lastModifiedBy>Weiss, Dominik J</cp:lastModifiedBy>
  <dcterms:created xsi:type="dcterms:W3CDTF">2019-03-13T10:25:08Z</dcterms:created>
  <dcterms:modified xsi:type="dcterms:W3CDTF">2024-05-17T10:58:06Z</dcterms:modified>
</cp:coreProperties>
</file>