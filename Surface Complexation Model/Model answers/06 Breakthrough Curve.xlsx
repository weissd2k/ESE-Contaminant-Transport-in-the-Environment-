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icnas3.cc.ic.ac.uk\jcb116\PhD Jay Bullen 2016-2019\Admin &amp; Miscellaneous\Teaching\2019 EnvGeoChem lab course (PHREEQC)\"/>
    </mc:Choice>
  </mc:AlternateContent>
  <bookViews>
    <workbookView xWindow="0" yWindow="0" windowWidth="21600" windowHeight="9735"/>
  </bookViews>
  <sheets>
    <sheet name="plot" sheetId="2" r:id="rId1"/>
    <sheet name="0-01" sheetId="1" r:id="rId2"/>
    <sheet name="0-05" sheetId="3" r:id="rId3"/>
    <sheet name="0-1" sheetId="6" r:id="rId4"/>
    <sheet name="0-7" sheetId="5" r:id="rId5"/>
    <sheet name="0-3" sheetId="7" r:id="rId6"/>
    <sheet name="0-5" sheetId="8" r:id="rId7"/>
  </sheets>
  <calcPr calcId="152511"/>
</workbook>
</file>

<file path=xl/calcChain.xml><?xml version="1.0" encoding="utf-8"?>
<calcChain xmlns="http://schemas.openxmlformats.org/spreadsheetml/2006/main">
  <c r="AC31" i="8" l="1"/>
  <c r="AA31" i="8"/>
  <c r="AB31" i="8" s="1"/>
  <c r="Y31" i="8"/>
  <c r="Z31" i="8" s="1"/>
  <c r="AC30" i="8"/>
  <c r="AA30" i="8"/>
  <c r="AB30" i="8" s="1"/>
  <c r="Y30" i="8"/>
  <c r="Z30" i="8" s="1"/>
  <c r="AC29" i="8"/>
  <c r="AA29" i="8"/>
  <c r="AB29" i="8" s="1"/>
  <c r="Y29" i="8"/>
  <c r="Z29" i="8" s="1"/>
  <c r="AC28" i="8"/>
  <c r="AA28" i="8"/>
  <c r="AB28" i="8" s="1"/>
  <c r="Y28" i="8"/>
  <c r="Z28" i="8" s="1"/>
  <c r="AC27" i="8"/>
  <c r="AA27" i="8"/>
  <c r="AB27" i="8" s="1"/>
  <c r="Z27" i="8"/>
  <c r="Y27" i="8"/>
  <c r="AC26" i="8"/>
  <c r="AA26" i="8"/>
  <c r="AB26" i="8" s="1"/>
  <c r="Y26" i="8"/>
  <c r="Z26" i="8" s="1"/>
  <c r="AC25" i="8"/>
  <c r="AA25" i="8"/>
  <c r="AB25" i="8" s="1"/>
  <c r="Y25" i="8"/>
  <c r="Z25" i="8" s="1"/>
  <c r="AC24" i="8"/>
  <c r="AA24" i="8"/>
  <c r="AB24" i="8" s="1"/>
  <c r="Y24" i="8"/>
  <c r="Z24" i="8" s="1"/>
  <c r="AC23" i="8"/>
  <c r="AA23" i="8"/>
  <c r="AB23" i="8" s="1"/>
  <c r="Y23" i="8"/>
  <c r="Z23" i="8" s="1"/>
  <c r="AC22" i="8"/>
  <c r="AA22" i="8"/>
  <c r="AB22" i="8" s="1"/>
  <c r="Y22" i="8"/>
  <c r="Z22" i="8" s="1"/>
  <c r="AC21" i="8"/>
  <c r="AA21" i="8"/>
  <c r="AB21" i="8" s="1"/>
  <c r="Y21" i="8"/>
  <c r="Z21" i="8" s="1"/>
  <c r="AC20" i="8"/>
  <c r="AA20" i="8"/>
  <c r="AB20" i="8" s="1"/>
  <c r="Y20" i="8"/>
  <c r="Z20" i="8" s="1"/>
  <c r="AC19" i="8"/>
  <c r="AA19" i="8"/>
  <c r="AB19" i="8" s="1"/>
  <c r="Y19" i="8"/>
  <c r="Z19" i="8" s="1"/>
  <c r="AC18" i="8"/>
  <c r="AA18" i="8"/>
  <c r="AB18" i="8" s="1"/>
  <c r="Y18" i="8"/>
  <c r="Z18" i="8" s="1"/>
  <c r="AC17" i="8"/>
  <c r="AA17" i="8"/>
  <c r="AB17" i="8" s="1"/>
  <c r="Y17" i="8"/>
  <c r="Z17" i="8" s="1"/>
  <c r="AC31" i="7"/>
  <c r="AA31" i="7"/>
  <c r="AB31" i="7" s="1"/>
  <c r="Y31" i="7"/>
  <c r="Z31" i="7" s="1"/>
  <c r="AC30" i="7"/>
  <c r="AB30" i="7"/>
  <c r="AA30" i="7"/>
  <c r="Y30" i="7"/>
  <c r="Z30" i="7" s="1"/>
  <c r="AC29" i="7"/>
  <c r="AA29" i="7"/>
  <c r="AB29" i="7" s="1"/>
  <c r="Y29" i="7"/>
  <c r="Z29" i="7" s="1"/>
  <c r="AC28" i="7"/>
  <c r="AA28" i="7"/>
  <c r="AB28" i="7" s="1"/>
  <c r="Y28" i="7"/>
  <c r="Z28" i="7" s="1"/>
  <c r="AC27" i="7"/>
  <c r="AA27" i="7"/>
  <c r="AB27" i="7" s="1"/>
  <c r="Y27" i="7"/>
  <c r="Z27" i="7" s="1"/>
  <c r="AC26" i="7"/>
  <c r="AA26" i="7"/>
  <c r="AB26" i="7" s="1"/>
  <c r="Y26" i="7"/>
  <c r="Z26" i="7" s="1"/>
  <c r="AC25" i="7"/>
  <c r="AA25" i="7"/>
  <c r="AB25" i="7" s="1"/>
  <c r="Y25" i="7"/>
  <c r="Z25" i="7" s="1"/>
  <c r="AC24" i="7"/>
  <c r="AA24" i="7"/>
  <c r="AB24" i="7" s="1"/>
  <c r="Y24" i="7"/>
  <c r="Z24" i="7" s="1"/>
  <c r="AC23" i="7"/>
  <c r="AA23" i="7"/>
  <c r="AB23" i="7" s="1"/>
  <c r="Y23" i="7"/>
  <c r="Z23" i="7" s="1"/>
  <c r="AC22" i="7"/>
  <c r="AA22" i="7"/>
  <c r="AB22" i="7" s="1"/>
  <c r="Y22" i="7"/>
  <c r="Z22" i="7" s="1"/>
  <c r="AC21" i="7"/>
  <c r="AA21" i="7"/>
  <c r="AB21" i="7" s="1"/>
  <c r="Y21" i="7"/>
  <c r="Z21" i="7" s="1"/>
  <c r="AC20" i="7"/>
  <c r="AA20" i="7"/>
  <c r="AB20" i="7" s="1"/>
  <c r="Y20" i="7"/>
  <c r="Z20" i="7" s="1"/>
  <c r="AC19" i="7"/>
  <c r="AA19" i="7"/>
  <c r="AB19" i="7" s="1"/>
  <c r="Y19" i="7"/>
  <c r="Z19" i="7" s="1"/>
  <c r="AC18" i="7"/>
  <c r="AA18" i="7"/>
  <c r="AB18" i="7" s="1"/>
  <c r="Y18" i="7"/>
  <c r="Z18" i="7" s="1"/>
  <c r="AC17" i="7"/>
  <c r="AA17" i="7"/>
  <c r="AB17" i="7" s="1"/>
  <c r="Y17" i="7"/>
  <c r="Z17" i="7" s="1"/>
  <c r="AC31" i="6"/>
  <c r="AA31" i="6"/>
  <c r="AB31" i="6" s="1"/>
  <c r="Z31" i="6"/>
  <c r="Y31" i="6"/>
  <c r="AC30" i="6"/>
  <c r="AA30" i="6"/>
  <c r="AB30" i="6" s="1"/>
  <c r="Y30" i="6"/>
  <c r="Z30" i="6" s="1"/>
  <c r="AC29" i="6"/>
  <c r="AA29" i="6"/>
  <c r="AB29" i="6" s="1"/>
  <c r="Y29" i="6"/>
  <c r="Z29" i="6" s="1"/>
  <c r="AC28" i="6"/>
  <c r="AA28" i="6"/>
  <c r="AB28" i="6" s="1"/>
  <c r="Y28" i="6"/>
  <c r="Z28" i="6" s="1"/>
  <c r="AC27" i="6"/>
  <c r="AA27" i="6"/>
  <c r="AB27" i="6" s="1"/>
  <c r="Y27" i="6"/>
  <c r="Z27" i="6" s="1"/>
  <c r="AC26" i="6"/>
  <c r="AA26" i="6"/>
  <c r="AB26" i="6" s="1"/>
  <c r="Y26" i="6"/>
  <c r="Z26" i="6" s="1"/>
  <c r="AC25" i="6"/>
  <c r="AA25" i="6"/>
  <c r="AB25" i="6" s="1"/>
  <c r="Y25" i="6"/>
  <c r="Z25" i="6" s="1"/>
  <c r="AC24" i="6"/>
  <c r="AA24" i="6"/>
  <c r="AB24" i="6" s="1"/>
  <c r="Y24" i="6"/>
  <c r="Z24" i="6" s="1"/>
  <c r="AC23" i="6"/>
  <c r="AA23" i="6"/>
  <c r="AB23" i="6" s="1"/>
  <c r="Y23" i="6"/>
  <c r="Z23" i="6" s="1"/>
  <c r="AC22" i="6"/>
  <c r="AA22" i="6"/>
  <c r="AB22" i="6" s="1"/>
  <c r="Y22" i="6"/>
  <c r="Z22" i="6" s="1"/>
  <c r="AC21" i="6"/>
  <c r="AA21" i="6"/>
  <c r="AB21" i="6" s="1"/>
  <c r="Y21" i="6"/>
  <c r="Z21" i="6" s="1"/>
  <c r="AC20" i="6"/>
  <c r="AA20" i="6"/>
  <c r="AB20" i="6" s="1"/>
  <c r="Y20" i="6"/>
  <c r="Z20" i="6" s="1"/>
  <c r="AC19" i="6"/>
  <c r="AA19" i="6"/>
  <c r="AB19" i="6" s="1"/>
  <c r="Y19" i="6"/>
  <c r="Z19" i="6" s="1"/>
  <c r="AC18" i="6"/>
  <c r="AA18" i="6"/>
  <c r="AB18" i="6" s="1"/>
  <c r="Y18" i="6"/>
  <c r="Z18" i="6" s="1"/>
  <c r="AC17" i="6"/>
  <c r="AA17" i="6"/>
  <c r="AB17" i="6" s="1"/>
  <c r="Y17" i="6"/>
  <c r="Z17" i="6" s="1"/>
  <c r="AC31" i="5"/>
  <c r="AA31" i="5"/>
  <c r="AB31" i="5" s="1"/>
  <c r="Y31" i="5"/>
  <c r="Z31" i="5" s="1"/>
  <c r="AC30" i="5"/>
  <c r="AA30" i="5"/>
  <c r="AB30" i="5" s="1"/>
  <c r="Y30" i="5"/>
  <c r="Z30" i="5" s="1"/>
  <c r="AC29" i="5"/>
  <c r="AA29" i="5"/>
  <c r="AB29" i="5" s="1"/>
  <c r="Y29" i="5"/>
  <c r="Z29" i="5" s="1"/>
  <c r="AC28" i="5"/>
  <c r="AA28" i="5"/>
  <c r="AB28" i="5" s="1"/>
  <c r="Y28" i="5"/>
  <c r="Z28" i="5" s="1"/>
  <c r="AC27" i="5"/>
  <c r="AA27" i="5"/>
  <c r="AB27" i="5" s="1"/>
  <c r="Y27" i="5"/>
  <c r="Z27" i="5" s="1"/>
  <c r="AC26" i="5"/>
  <c r="AA26" i="5"/>
  <c r="AB26" i="5" s="1"/>
  <c r="Y26" i="5"/>
  <c r="Z26" i="5" s="1"/>
  <c r="AC25" i="5"/>
  <c r="AA25" i="5"/>
  <c r="AB25" i="5" s="1"/>
  <c r="Y25" i="5"/>
  <c r="Z25" i="5" s="1"/>
  <c r="AC24" i="5"/>
  <c r="AB24" i="5"/>
  <c r="AA24" i="5"/>
  <c r="Y24" i="5"/>
  <c r="Z24" i="5" s="1"/>
  <c r="AC23" i="5"/>
  <c r="AA23" i="5"/>
  <c r="AB23" i="5" s="1"/>
  <c r="Y23" i="5"/>
  <c r="Z23" i="5" s="1"/>
  <c r="AC22" i="5"/>
  <c r="AA22" i="5"/>
  <c r="AB22" i="5" s="1"/>
  <c r="Y22" i="5"/>
  <c r="Z22" i="5" s="1"/>
  <c r="AC21" i="5"/>
  <c r="AA21" i="5"/>
  <c r="AB21" i="5" s="1"/>
  <c r="Y21" i="5"/>
  <c r="Z21" i="5" s="1"/>
  <c r="AC20" i="5"/>
  <c r="AA20" i="5"/>
  <c r="AB20" i="5" s="1"/>
  <c r="Y20" i="5"/>
  <c r="Z20" i="5" s="1"/>
  <c r="AC19" i="5"/>
  <c r="AA19" i="5"/>
  <c r="AB19" i="5" s="1"/>
  <c r="Y19" i="5"/>
  <c r="Z19" i="5" s="1"/>
  <c r="AC18" i="5"/>
  <c r="AA18" i="5"/>
  <c r="AB18" i="5" s="1"/>
  <c r="Y18" i="5"/>
  <c r="Z18" i="5" s="1"/>
  <c r="AC17" i="5"/>
  <c r="AA17" i="5"/>
  <c r="AB17" i="5" s="1"/>
  <c r="Y17" i="5"/>
  <c r="Z17" i="5" s="1"/>
  <c r="AC31" i="3"/>
  <c r="AA31" i="3"/>
  <c r="AB31" i="3" s="1"/>
  <c r="Y31" i="3"/>
  <c r="Z31" i="3" s="1"/>
  <c r="AC30" i="3"/>
  <c r="AA30" i="3"/>
  <c r="AB30" i="3" s="1"/>
  <c r="Y30" i="3"/>
  <c r="Z30" i="3" s="1"/>
  <c r="AC29" i="3"/>
  <c r="AA29" i="3"/>
  <c r="AB29" i="3" s="1"/>
  <c r="Y29" i="3"/>
  <c r="Z29" i="3" s="1"/>
  <c r="AC28" i="3"/>
  <c r="AA28" i="3"/>
  <c r="AB28" i="3" s="1"/>
  <c r="Y28" i="3"/>
  <c r="Z28" i="3" s="1"/>
  <c r="AC27" i="3"/>
  <c r="AA27" i="3"/>
  <c r="AB27" i="3" s="1"/>
  <c r="Y27" i="3"/>
  <c r="Z27" i="3" s="1"/>
  <c r="AC26" i="3"/>
  <c r="AA26" i="3"/>
  <c r="AB26" i="3" s="1"/>
  <c r="Y26" i="3"/>
  <c r="Z26" i="3" s="1"/>
  <c r="AC25" i="3"/>
  <c r="AA25" i="3"/>
  <c r="AB25" i="3" s="1"/>
  <c r="Y25" i="3"/>
  <c r="Z25" i="3" s="1"/>
  <c r="AC24" i="3"/>
  <c r="AA24" i="3"/>
  <c r="AB24" i="3" s="1"/>
  <c r="Y24" i="3"/>
  <c r="Z24" i="3" s="1"/>
  <c r="AC23" i="3"/>
  <c r="AA23" i="3"/>
  <c r="AB23" i="3" s="1"/>
  <c r="Y23" i="3"/>
  <c r="Z23" i="3" s="1"/>
  <c r="AC22" i="3"/>
  <c r="AA22" i="3"/>
  <c r="AB22" i="3" s="1"/>
  <c r="Y22" i="3"/>
  <c r="Z22" i="3" s="1"/>
  <c r="AC21" i="3"/>
  <c r="AA21" i="3"/>
  <c r="AB21" i="3" s="1"/>
  <c r="Y21" i="3"/>
  <c r="Z21" i="3" s="1"/>
  <c r="AC20" i="3"/>
  <c r="AA20" i="3"/>
  <c r="AB20" i="3" s="1"/>
  <c r="Y20" i="3"/>
  <c r="Z20" i="3" s="1"/>
  <c r="AC19" i="3"/>
  <c r="AA19" i="3"/>
  <c r="AB19" i="3" s="1"/>
  <c r="Y19" i="3"/>
  <c r="Z19" i="3" s="1"/>
  <c r="AC18" i="3"/>
  <c r="AA18" i="3"/>
  <c r="AB18" i="3" s="1"/>
  <c r="Y18" i="3"/>
  <c r="Z18" i="3" s="1"/>
  <c r="AC17" i="3"/>
  <c r="AA17" i="3"/>
  <c r="AB17" i="3" s="1"/>
  <c r="Z17" i="3"/>
  <c r="Y17" i="3"/>
  <c r="Y29" i="1"/>
  <c r="Z29" i="1" s="1"/>
  <c r="AA29" i="1"/>
  <c r="AB29" i="1" s="1"/>
  <c r="AC29" i="1"/>
  <c r="Y30" i="1"/>
  <c r="Z30" i="1"/>
  <c r="AA30" i="1"/>
  <c r="AB30" i="1" s="1"/>
  <c r="AC30" i="1"/>
  <c r="Y31" i="1"/>
  <c r="Z31" i="1"/>
  <c r="AA31" i="1"/>
  <c r="AB31" i="1" s="1"/>
  <c r="AC31" i="1"/>
  <c r="AC18" i="1"/>
  <c r="AC19" i="1"/>
  <c r="AC20" i="1"/>
  <c r="AC21" i="1"/>
  <c r="AC22" i="1"/>
  <c r="AC23" i="1"/>
  <c r="AC24" i="1"/>
  <c r="AC25" i="1"/>
  <c r="AC26" i="1"/>
  <c r="AC27" i="1"/>
  <c r="AC28" i="1"/>
  <c r="AC17" i="1"/>
  <c r="Z22" i="1"/>
  <c r="Y17" i="1"/>
  <c r="Z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17" i="1"/>
  <c r="AB17" i="1" s="1"/>
  <c r="Y22" i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1" i="1"/>
  <c r="Z21" i="1" s="1"/>
  <c r="Y20" i="1"/>
  <c r="Z20" i="1" s="1"/>
  <c r="Y19" i="1"/>
  <c r="Z19" i="1" s="1"/>
  <c r="Y18" i="1"/>
  <c r="Z18" i="1" s="1"/>
</calcChain>
</file>

<file path=xl/sharedStrings.xml><?xml version="1.0" encoding="utf-8"?>
<sst xmlns="http://schemas.openxmlformats.org/spreadsheetml/2006/main" count="342" uniqueCount="29">
  <si>
    <t xml:space="preserve">         sim</t>
  </si>
  <si>
    <t xml:space="preserve">       state</t>
  </si>
  <si>
    <t xml:space="preserve">        soln</t>
  </si>
  <si>
    <t xml:space="preserve">      dist_x</t>
  </si>
  <si>
    <t xml:space="preserve">        time</t>
  </si>
  <si>
    <t xml:space="preserve">        step</t>
  </si>
  <si>
    <t xml:space="preserve">          pH</t>
  </si>
  <si>
    <t xml:space="preserve">          pe</t>
  </si>
  <si>
    <t xml:space="preserve">    reaction</t>
  </si>
  <si>
    <t xml:space="preserve">        temp</t>
  </si>
  <si>
    <t xml:space="preserve">         Alk</t>
  </si>
  <si>
    <t xml:space="preserve">          mu</t>
  </si>
  <si>
    <t xml:space="preserve">    mass_H2O</t>
  </si>
  <si>
    <t xml:space="preserve">      charge</t>
  </si>
  <si>
    <t xml:space="preserve">     pct_err</t>
  </si>
  <si>
    <t xml:space="preserve">    m_AsO4-3</t>
  </si>
  <si>
    <t xml:space="preserve">   m_HAsO4-2</t>
  </si>
  <si>
    <t xml:space="preserve">   m_H2AsO4-</t>
  </si>
  <si>
    <t xml:space="preserve">    m_H3AsO4</t>
  </si>
  <si>
    <t>m_Surf_AsO4-2</t>
  </si>
  <si>
    <t>m_Surf_HAsO4-</t>
  </si>
  <si>
    <t>m_Surf_H2AsO4</t>
  </si>
  <si>
    <t xml:space="preserve">      i_soln</t>
  </si>
  <si>
    <t xml:space="preserve">       react</t>
  </si>
  <si>
    <t>As(ads)</t>
  </si>
  <si>
    <t>As(aq)</t>
  </si>
  <si>
    <t>As(aq) (ppb)</t>
  </si>
  <si>
    <t>As(ads) (mg g-1)</t>
  </si>
  <si>
    <t>As(tot)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</si>
</sst>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Affect of salinity on As(V) breakthrough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0.01 M NaCl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'0-01'!$AC$17:$AC$36</c:f>
              <c:numCache>
                <c:formatCode>0.00E+00</c:formatCode>
                <c:ptCount val="20"/>
                <c:pt idx="0">
                  <c:v>0</c:v>
                </c:pt>
                <c:pt idx="1">
                  <c:v>9.9998956033315753E-2</c:v>
                </c:pt>
                <c:pt idx="2">
                  <c:v>0.99994632750498891</c:v>
                </c:pt>
                <c:pt idx="3">
                  <c:v>9.9995105608601005</c:v>
                </c:pt>
                <c:pt idx="4">
                  <c:v>19.999875218761975</c:v>
                </c:pt>
                <c:pt idx="5">
                  <c:v>29.999812994010625</c:v>
                </c:pt>
                <c:pt idx="6">
                  <c:v>49.999462545556398</c:v>
                </c:pt>
                <c:pt idx="7">
                  <c:v>74.999362801701196</c:v>
                </c:pt>
                <c:pt idx="8">
                  <c:v>99.999026728328005</c:v>
                </c:pt>
                <c:pt idx="9">
                  <c:v>149.99847367591201</c:v>
                </c:pt>
                <c:pt idx="10">
                  <c:v>199.99462382134001</c:v>
                </c:pt>
                <c:pt idx="11">
                  <c:v>299.99679202767999</c:v>
                </c:pt>
                <c:pt idx="12">
                  <c:v>399.99312445300006</c:v>
                </c:pt>
                <c:pt idx="13">
                  <c:v>499.99505422644</c:v>
                </c:pt>
                <c:pt idx="14">
                  <c:v>699.99190066196013</c:v>
                </c:pt>
              </c:numCache>
            </c:numRef>
          </c:xVal>
          <c:yVal>
            <c:numRef>
              <c:f>'0-01'!$AB$17:$AB$36</c:f>
              <c:numCache>
                <c:formatCode>General</c:formatCode>
                <c:ptCount val="20"/>
                <c:pt idx="0">
                  <c:v>0</c:v>
                </c:pt>
                <c:pt idx="1">
                  <c:v>1.6542075253603848E-10</c:v>
                </c:pt>
                <c:pt idx="2">
                  <c:v>1.904709920581954E-9</c:v>
                </c:pt>
                <c:pt idx="3">
                  <c:v>8.0588702175654039E-8</c:v>
                </c:pt>
                <c:pt idx="4">
                  <c:v>8.237599686332088E-7</c:v>
                </c:pt>
                <c:pt idx="5">
                  <c:v>7.1167655579284562E-6</c:v>
                </c:pt>
                <c:pt idx="6">
                  <c:v>9.4718893539775758E-4</c:v>
                </c:pt>
                <c:pt idx="7">
                  <c:v>0.5157541458889483</c:v>
                </c:pt>
                <c:pt idx="8">
                  <c:v>3.576776340096103</c:v>
                </c:pt>
                <c:pt idx="9">
                  <c:v>11.298975421783235</c:v>
                </c:pt>
                <c:pt idx="10">
                  <c:v>19.477461151895358</c:v>
                </c:pt>
                <c:pt idx="11">
                  <c:v>36.279223224773091</c:v>
                </c:pt>
                <c:pt idx="12">
                  <c:v>53.352262746930059</c:v>
                </c:pt>
                <c:pt idx="13">
                  <c:v>70.574043739989321</c:v>
                </c:pt>
                <c:pt idx="14">
                  <c:v>105.28336109183128</c:v>
                </c:pt>
              </c:numCache>
            </c:numRef>
          </c:yVal>
          <c:smooth val="1"/>
        </c:ser>
        <c:ser>
          <c:idx val="1"/>
          <c:order val="1"/>
          <c:tx>
            <c:v>0.05 M NaCl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'0-05'!$AC$17:$AC$35</c:f>
              <c:numCache>
                <c:formatCode>0.00E+00</c:formatCode>
                <c:ptCount val="19"/>
                <c:pt idx="0">
                  <c:v>0</c:v>
                </c:pt>
                <c:pt idx="1">
                  <c:v>0.10000159181573894</c:v>
                </c:pt>
                <c:pt idx="2">
                  <c:v>0.99999679595437285</c:v>
                </c:pt>
                <c:pt idx="3">
                  <c:v>9.9996976597489056</c:v>
                </c:pt>
                <c:pt idx="4">
                  <c:v>20.000031585970643</c:v>
                </c:pt>
                <c:pt idx="5">
                  <c:v>29.999356280230284</c:v>
                </c:pt>
                <c:pt idx="6">
                  <c:v>49.999017513070356</c:v>
                </c:pt>
                <c:pt idx="7">
                  <c:v>74.998462312373789</c:v>
                </c:pt>
                <c:pt idx="8">
                  <c:v>99.998161223269221</c:v>
                </c:pt>
                <c:pt idx="9">
                  <c:v>149.99797236371603</c:v>
                </c:pt>
                <c:pt idx="10">
                  <c:v>200.00174910292398</c:v>
                </c:pt>
                <c:pt idx="11">
                  <c:v>299.99609970694394</c:v>
                </c:pt>
                <c:pt idx="12">
                  <c:v>399.99144047616005</c:v>
                </c:pt>
                <c:pt idx="13">
                  <c:v>499.99086035468008</c:v>
                </c:pt>
                <c:pt idx="14">
                  <c:v>699.97946176927985</c:v>
                </c:pt>
              </c:numCache>
            </c:numRef>
          </c:xVal>
          <c:yVal>
            <c:numRef>
              <c:f>'0-05'!$AB$17:$AB$35</c:f>
              <c:numCache>
                <c:formatCode>General</c:formatCode>
                <c:ptCount val="19"/>
                <c:pt idx="0">
                  <c:v>0</c:v>
                </c:pt>
                <c:pt idx="1">
                  <c:v>4.6563904231179928E-10</c:v>
                </c:pt>
                <c:pt idx="2">
                  <c:v>5.2442507341163912E-9</c:v>
                </c:pt>
                <c:pt idx="3">
                  <c:v>1.7903576664442072E-7</c:v>
                </c:pt>
                <c:pt idx="4">
                  <c:v>1.5274756572343834E-6</c:v>
                </c:pt>
                <c:pt idx="5">
                  <c:v>1.146781344901228E-5</c:v>
                </c:pt>
                <c:pt idx="6">
                  <c:v>1.0147262740256274E-3</c:v>
                </c:pt>
                <c:pt idx="7">
                  <c:v>0.23223813754671649</c:v>
                </c:pt>
                <c:pt idx="8">
                  <c:v>2.4873402430592626</c:v>
                </c:pt>
                <c:pt idx="9">
                  <c:v>9.7405438774693014</c:v>
                </c:pt>
                <c:pt idx="10">
                  <c:v>17.785991653764015</c:v>
                </c:pt>
                <c:pt idx="11">
                  <c:v>34.5491345862253</c:v>
                </c:pt>
                <c:pt idx="12">
                  <c:v>51.68086022423919</c:v>
                </c:pt>
                <c:pt idx="13">
                  <c:v>68.991088881473587</c:v>
                </c:pt>
                <c:pt idx="14">
                  <c:v>103.89597415910302</c:v>
                </c:pt>
              </c:numCache>
            </c:numRef>
          </c:yVal>
          <c:smooth val="1"/>
        </c:ser>
        <c:ser>
          <c:idx val="2"/>
          <c:order val="2"/>
          <c:tx>
            <c:v>0.1 M NaCl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'0-1'!$AC$17:$AC$35</c:f>
              <c:numCache>
                <c:formatCode>0.00E+00</c:formatCode>
                <c:ptCount val="19"/>
                <c:pt idx="0">
                  <c:v>0</c:v>
                </c:pt>
                <c:pt idx="1">
                  <c:v>9.9996344673532078E-2</c:v>
                </c:pt>
                <c:pt idx="2">
                  <c:v>0.9999661547431139</c:v>
                </c:pt>
                <c:pt idx="3">
                  <c:v>9.9998402634522332</c:v>
                </c:pt>
                <c:pt idx="4">
                  <c:v>19.999401412465151</c:v>
                </c:pt>
                <c:pt idx="5">
                  <c:v>29.999446724498707</c:v>
                </c:pt>
                <c:pt idx="6">
                  <c:v>49.99948275790404</c:v>
                </c:pt>
                <c:pt idx="7">
                  <c:v>74.998928511064193</c:v>
                </c:pt>
                <c:pt idx="8">
                  <c:v>100.0010849440536</c:v>
                </c:pt>
                <c:pt idx="9">
                  <c:v>149.99770006697599</c:v>
                </c:pt>
                <c:pt idx="10">
                  <c:v>199.99781373513204</c:v>
                </c:pt>
                <c:pt idx="11">
                  <c:v>299.99861737856003</c:v>
                </c:pt>
                <c:pt idx="12">
                  <c:v>399.99799904787994</c:v>
                </c:pt>
                <c:pt idx="13">
                  <c:v>499.98357468436006</c:v>
                </c:pt>
                <c:pt idx="14">
                  <c:v>699.98518138684005</c:v>
                </c:pt>
              </c:numCache>
            </c:numRef>
          </c:xVal>
          <c:yVal>
            <c:numRef>
              <c:f>'0-1'!$AB$17:$AB$35</c:f>
              <c:numCache>
                <c:formatCode>General</c:formatCode>
                <c:ptCount val="19"/>
                <c:pt idx="0">
                  <c:v>0</c:v>
                </c:pt>
                <c:pt idx="1">
                  <c:v>8.1932564348638546E-10</c:v>
                </c:pt>
                <c:pt idx="2">
                  <c:v>9.1319321609717032E-9</c:v>
                </c:pt>
                <c:pt idx="3">
                  <c:v>2.8198582367859048E-7</c:v>
                </c:pt>
                <c:pt idx="4">
                  <c:v>2.1910442062199676E-6</c:v>
                </c:pt>
                <c:pt idx="5">
                  <c:v>1.5114520216230644E-5</c:v>
                </c:pt>
                <c:pt idx="6">
                  <c:v>1.0406190707421248E-3</c:v>
                </c:pt>
                <c:pt idx="7">
                  <c:v>0.15228916023758673</c:v>
                </c:pt>
                <c:pt idx="8">
                  <c:v>1.9449486863320871</c:v>
                </c:pt>
                <c:pt idx="9">
                  <c:v>8.8641606086492235</c:v>
                </c:pt>
                <c:pt idx="10">
                  <c:v>16.82208979044314</c:v>
                </c:pt>
                <c:pt idx="11">
                  <c:v>33.562116497597437</c:v>
                </c:pt>
                <c:pt idx="12">
                  <c:v>50.725995581954081</c:v>
                </c:pt>
                <c:pt idx="13">
                  <c:v>68.082262853710631</c:v>
                </c:pt>
                <c:pt idx="14">
                  <c:v>103.09070644687668</c:v>
                </c:pt>
              </c:numCache>
            </c:numRef>
          </c:yVal>
          <c:smooth val="1"/>
        </c:ser>
        <c:ser>
          <c:idx val="3"/>
          <c:order val="3"/>
          <c:tx>
            <c:v>0.3 M NaCl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'0-3'!$AC$17:$AC$37</c:f>
              <c:numCache>
                <c:formatCode>0.00E+00</c:formatCode>
                <c:ptCount val="21"/>
                <c:pt idx="0">
                  <c:v>0</c:v>
                </c:pt>
                <c:pt idx="1">
                  <c:v>0.10000067784389745</c:v>
                </c:pt>
                <c:pt idx="2">
                  <c:v>0.99996404566265928</c:v>
                </c:pt>
                <c:pt idx="3">
                  <c:v>9.9996373352174714</c:v>
                </c:pt>
                <c:pt idx="4">
                  <c:v>20.000074603105986</c:v>
                </c:pt>
                <c:pt idx="5">
                  <c:v>29.999791796350415</c:v>
                </c:pt>
                <c:pt idx="6">
                  <c:v>49.998843845521051</c:v>
                </c:pt>
                <c:pt idx="7">
                  <c:v>74.998713365622734</c:v>
                </c:pt>
                <c:pt idx="8">
                  <c:v>99.999201258963211</c:v>
                </c:pt>
                <c:pt idx="9">
                  <c:v>149.99806388598799</c:v>
                </c:pt>
                <c:pt idx="10">
                  <c:v>199.996818655184</c:v>
                </c:pt>
                <c:pt idx="11">
                  <c:v>299.98730564229601</c:v>
                </c:pt>
                <c:pt idx="12">
                  <c:v>399.99255754085198</c:v>
                </c:pt>
                <c:pt idx="13">
                  <c:v>499.98255090255992</c:v>
                </c:pt>
                <c:pt idx="14">
                  <c:v>699.98149097748001</c:v>
                </c:pt>
              </c:numCache>
            </c:numRef>
          </c:xVal>
          <c:yVal>
            <c:numRef>
              <c:f>'0-3'!$AB$17:$AB$37</c:f>
              <c:numCache>
                <c:formatCode>General</c:formatCode>
                <c:ptCount val="21"/>
                <c:pt idx="0">
                  <c:v>0</c:v>
                </c:pt>
                <c:pt idx="1">
                  <c:v>2.0793094874532837E-9</c:v>
                </c:pt>
                <c:pt idx="2">
                  <c:v>2.281184985317672E-8</c:v>
                </c:pt>
                <c:pt idx="3">
                  <c:v>6.0367603881473573E-7</c:v>
                </c:pt>
                <c:pt idx="4">
                  <c:v>3.999102153630539E-6</c:v>
                </c:pt>
                <c:pt idx="5">
                  <c:v>2.338829159636946E-5</c:v>
                </c:pt>
                <c:pt idx="6">
                  <c:v>9.8578820808862795E-4</c:v>
                </c:pt>
                <c:pt idx="7">
                  <c:v>7.0195304538174047E-2</c:v>
                </c:pt>
                <c:pt idx="8">
                  <c:v>1.0792233443673249</c:v>
                </c:pt>
                <c:pt idx="9">
                  <c:v>7.2074181647090221</c:v>
                </c:pt>
                <c:pt idx="10">
                  <c:v>15.026263817405232</c:v>
                </c:pt>
                <c:pt idx="11">
                  <c:v>31.811395939668984</c:v>
                </c:pt>
                <c:pt idx="12">
                  <c:v>49.102522131607046</c:v>
                </c:pt>
                <c:pt idx="13">
                  <c:v>66.589127976508266</c:v>
                </c:pt>
                <c:pt idx="14">
                  <c:v>101.82744886545649</c:v>
                </c:pt>
              </c:numCache>
            </c:numRef>
          </c:yVal>
          <c:smooth val="1"/>
        </c:ser>
        <c:ser>
          <c:idx val="4"/>
          <c:order val="4"/>
          <c:tx>
            <c:v>0.5 M NaCl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'0-5'!$AC$17:$AC$38</c:f>
              <c:numCache>
                <c:formatCode>0.00E+00</c:formatCode>
                <c:ptCount val="22"/>
                <c:pt idx="0">
                  <c:v>0</c:v>
                </c:pt>
                <c:pt idx="1">
                  <c:v>9.9997125710744941E-2</c:v>
                </c:pt>
                <c:pt idx="2">
                  <c:v>1.0000216027161197</c:v>
                </c:pt>
                <c:pt idx="3">
                  <c:v>9.9999964402318753</c:v>
                </c:pt>
                <c:pt idx="4">
                  <c:v>19.999975374214813</c:v>
                </c:pt>
                <c:pt idx="5">
                  <c:v>29.999548732212673</c:v>
                </c:pt>
                <c:pt idx="6">
                  <c:v>49.999980219238999</c:v>
                </c:pt>
                <c:pt idx="7">
                  <c:v>74.998790267803656</c:v>
                </c:pt>
                <c:pt idx="8">
                  <c:v>100.00154488992081</c:v>
                </c:pt>
                <c:pt idx="9">
                  <c:v>149.99582511306238</c:v>
                </c:pt>
                <c:pt idx="10">
                  <c:v>199.99181635916401</c:v>
                </c:pt>
                <c:pt idx="11">
                  <c:v>299.991716182696</c:v>
                </c:pt>
                <c:pt idx="12">
                  <c:v>399.98662772024801</c:v>
                </c:pt>
                <c:pt idx="13">
                  <c:v>499.98917862544005</c:v>
                </c:pt>
                <c:pt idx="14">
                  <c:v>699.98085415748005</c:v>
                </c:pt>
              </c:numCache>
            </c:numRef>
          </c:xVal>
          <c:yVal>
            <c:numRef>
              <c:f>'0-5'!$AB$17:$AB$36</c:f>
              <c:numCache>
                <c:formatCode>General</c:formatCode>
                <c:ptCount val="20"/>
                <c:pt idx="0">
                  <c:v>0</c:v>
                </c:pt>
                <c:pt idx="1">
                  <c:v>2.9956397238387614E-9</c:v>
                </c:pt>
                <c:pt idx="2">
                  <c:v>3.2646910870261614E-8</c:v>
                </c:pt>
                <c:pt idx="3">
                  <c:v>8.076213623865456E-7</c:v>
                </c:pt>
                <c:pt idx="4">
                  <c:v>4.9539253707955143E-6</c:v>
                </c:pt>
                <c:pt idx="5">
                  <c:v>2.6520755912973841E-5</c:v>
                </c:pt>
                <c:pt idx="6">
                  <c:v>8.6296157421249351E-4</c:v>
                </c:pt>
                <c:pt idx="7">
                  <c:v>4.4401477219701023E-2</c:v>
                </c:pt>
                <c:pt idx="8">
                  <c:v>0.70716357100907634</c:v>
                </c:pt>
                <c:pt idx="9">
                  <c:v>6.3010395985050716</c:v>
                </c:pt>
                <c:pt idx="10">
                  <c:v>14.091963650560599</c:v>
                </c:pt>
                <c:pt idx="11">
                  <c:v>30.99797989588895</c:v>
                </c:pt>
                <c:pt idx="12">
                  <c:v>48.407645613988251</c:v>
                </c:pt>
                <c:pt idx="13">
                  <c:v>65.991189695675388</c:v>
                </c:pt>
                <c:pt idx="14">
                  <c:v>101.36362745595302</c:v>
                </c:pt>
              </c:numCache>
            </c:numRef>
          </c:yVal>
          <c:smooth val="1"/>
        </c:ser>
        <c:ser>
          <c:idx val="5"/>
          <c:order val="5"/>
          <c:tx>
            <c:v>0.7 M NaCl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'0-7'!$AC$17:$AC$37</c:f>
              <c:numCache>
                <c:formatCode>0.00E+00</c:formatCode>
                <c:ptCount val="21"/>
                <c:pt idx="0">
                  <c:v>0</c:v>
                </c:pt>
                <c:pt idx="1">
                  <c:v>9.9995924007666756E-2</c:v>
                </c:pt>
                <c:pt idx="2">
                  <c:v>0.99999773833880945</c:v>
                </c:pt>
                <c:pt idx="3">
                  <c:v>9.9998207034874227</c:v>
                </c:pt>
                <c:pt idx="4">
                  <c:v>20.000132263178177</c:v>
                </c:pt>
                <c:pt idx="5">
                  <c:v>29.999634647338947</c:v>
                </c:pt>
                <c:pt idx="6">
                  <c:v>49.999175354157011</c:v>
                </c:pt>
                <c:pt idx="7">
                  <c:v>74.999260170216687</c:v>
                </c:pt>
                <c:pt idx="8">
                  <c:v>100.00139808335668</c:v>
                </c:pt>
                <c:pt idx="9">
                  <c:v>149.99540457211842</c:v>
                </c:pt>
                <c:pt idx="10">
                  <c:v>199.99844127254403</c:v>
                </c:pt>
                <c:pt idx="11">
                  <c:v>299.98741408899605</c:v>
                </c:pt>
                <c:pt idx="12">
                  <c:v>399.99396065759595</c:v>
                </c:pt>
                <c:pt idx="13">
                  <c:v>499.98780646564001</c:v>
                </c:pt>
                <c:pt idx="14">
                  <c:v>699.98401151104008</c:v>
                </c:pt>
              </c:numCache>
            </c:numRef>
          </c:xVal>
          <c:yVal>
            <c:numRef>
              <c:f>'0-7'!$AB$17:$AB$36</c:f>
              <c:numCache>
                <c:formatCode>General</c:formatCode>
                <c:ptCount val="20"/>
                <c:pt idx="0">
                  <c:v>0</c:v>
                </c:pt>
                <c:pt idx="1">
                  <c:v>3.5720299109717026E-9</c:v>
                </c:pt>
                <c:pt idx="2">
                  <c:v>3.8767247681526966E-8</c:v>
                </c:pt>
                <c:pt idx="3">
                  <c:v>9.1895840736785901E-7</c:v>
                </c:pt>
                <c:pt idx="4">
                  <c:v>5.355507554458088E-6</c:v>
                </c:pt>
                <c:pt idx="5">
                  <c:v>2.6957998649225841E-5</c:v>
                </c:pt>
                <c:pt idx="6">
                  <c:v>7.3531884036305388E-4</c:v>
                </c:pt>
                <c:pt idx="7">
                  <c:v>3.0715839949279233E-2</c:v>
                </c:pt>
                <c:pt idx="8">
                  <c:v>0.4894652326348104</c:v>
                </c:pt>
                <c:pt idx="9">
                  <c:v>5.6524329087026164</c:v>
                </c:pt>
                <c:pt idx="10">
                  <c:v>13.467529941270687</c:v>
                </c:pt>
                <c:pt idx="11">
                  <c:v>30.514298335557932</c:v>
                </c:pt>
                <c:pt idx="12">
                  <c:v>48.025529715696749</c:v>
                </c:pt>
                <c:pt idx="13">
                  <c:v>65.676623291510936</c:v>
                </c:pt>
                <c:pt idx="14">
                  <c:v>101.13414458088627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245344"/>
        <c:axId val="475245736"/>
      </c:scatterChart>
      <c:valAx>
        <c:axId val="475245344"/>
        <c:scaling>
          <c:orientation val="minMax"/>
          <c:max val="2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As(V) (ppm)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45736"/>
        <c:crosses val="autoZero"/>
        <c:crossBetween val="midCat"/>
      </c:valAx>
      <c:valAx>
        <c:axId val="475245736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As(V) (aq) (ppb)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4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adsorption isotherm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0.01 M NaCl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'0-01'!$AB$17:$AB$34</c:f>
              <c:numCache>
                <c:formatCode>General</c:formatCode>
                <c:ptCount val="18"/>
                <c:pt idx="0">
                  <c:v>0</c:v>
                </c:pt>
                <c:pt idx="1">
                  <c:v>1.6542075253603848E-10</c:v>
                </c:pt>
                <c:pt idx="2">
                  <c:v>1.904709920581954E-9</c:v>
                </c:pt>
                <c:pt idx="3">
                  <c:v>8.0588702175654039E-8</c:v>
                </c:pt>
                <c:pt idx="4">
                  <c:v>8.237599686332088E-7</c:v>
                </c:pt>
                <c:pt idx="5">
                  <c:v>7.1167655579284562E-6</c:v>
                </c:pt>
                <c:pt idx="6">
                  <c:v>9.4718893539775758E-4</c:v>
                </c:pt>
                <c:pt idx="7">
                  <c:v>0.5157541458889483</c:v>
                </c:pt>
                <c:pt idx="8">
                  <c:v>3.576776340096103</c:v>
                </c:pt>
                <c:pt idx="9">
                  <c:v>11.298975421783235</c:v>
                </c:pt>
                <c:pt idx="10">
                  <c:v>19.477461151895358</c:v>
                </c:pt>
                <c:pt idx="11">
                  <c:v>36.279223224773091</c:v>
                </c:pt>
                <c:pt idx="12">
                  <c:v>53.352262746930059</c:v>
                </c:pt>
                <c:pt idx="13">
                  <c:v>70.574043739989321</c:v>
                </c:pt>
                <c:pt idx="14">
                  <c:v>105.28336109183128</c:v>
                </c:pt>
              </c:numCache>
            </c:numRef>
          </c:xVal>
          <c:yVal>
            <c:numRef>
              <c:f>'0-01'!$Z$17:$Z$34</c:f>
              <c:numCache>
                <c:formatCode>0.00E+00</c:formatCode>
                <c:ptCount val="18"/>
                <c:pt idx="0">
                  <c:v>0</c:v>
                </c:pt>
                <c:pt idx="1">
                  <c:v>9.9998955104808017E-3</c:v>
                </c:pt>
                <c:pt idx="2">
                  <c:v>9.9994631681383991E-2</c:v>
                </c:pt>
                <c:pt idx="3">
                  <c:v>0.99995101085151994</c:v>
                </c:pt>
                <c:pt idx="4">
                  <c:v>1.9999870594991997</c:v>
                </c:pt>
                <c:pt idx="5">
                  <c:v>2.9999773047559999</c:v>
                </c:pt>
                <c:pt idx="6">
                  <c:v>4.9994145968000003</c:v>
                </c:pt>
                <c:pt idx="7">
                  <c:v>7.2104431480000004</c:v>
                </c:pt>
                <c:pt idx="8">
                  <c:v>7.992255823999999</c:v>
                </c:pt>
                <c:pt idx="9">
                  <c:v>8.6577252320000007</c:v>
                </c:pt>
                <c:pt idx="10">
                  <c:v>9.0667509719999995</c:v>
                </c:pt>
                <c:pt idx="11">
                  <c:v>9.6361279879999984</c:v>
                </c:pt>
                <c:pt idx="12">
                  <c:v>10.05265322</c:v>
                </c:pt>
                <c:pt idx="13">
                  <c:v>10.386249504000002</c:v>
                </c:pt>
                <c:pt idx="14">
                  <c:v>10.903572104000002</c:v>
                </c:pt>
              </c:numCache>
            </c:numRef>
          </c:yVal>
          <c:smooth val="1"/>
        </c:ser>
        <c:ser>
          <c:idx val="2"/>
          <c:order val="1"/>
          <c:tx>
            <c:v>0.05 M NaCl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'0-05'!$AB$17:$AB$38</c:f>
              <c:numCache>
                <c:formatCode>General</c:formatCode>
                <c:ptCount val="22"/>
                <c:pt idx="0">
                  <c:v>0</c:v>
                </c:pt>
                <c:pt idx="1">
                  <c:v>4.6563904231179928E-10</c:v>
                </c:pt>
                <c:pt idx="2">
                  <c:v>5.2442507341163912E-9</c:v>
                </c:pt>
                <c:pt idx="3">
                  <c:v>1.7903576664442072E-7</c:v>
                </c:pt>
                <c:pt idx="4">
                  <c:v>1.5274756572343834E-6</c:v>
                </c:pt>
                <c:pt idx="5">
                  <c:v>1.146781344901228E-5</c:v>
                </c:pt>
                <c:pt idx="6">
                  <c:v>1.0147262740256274E-3</c:v>
                </c:pt>
                <c:pt idx="7">
                  <c:v>0.23223813754671649</c:v>
                </c:pt>
                <c:pt idx="8">
                  <c:v>2.4873402430592626</c:v>
                </c:pt>
                <c:pt idx="9">
                  <c:v>9.7405438774693014</c:v>
                </c:pt>
                <c:pt idx="10">
                  <c:v>17.785991653764015</c:v>
                </c:pt>
                <c:pt idx="11">
                  <c:v>34.5491345862253</c:v>
                </c:pt>
                <c:pt idx="12">
                  <c:v>51.68086022423919</c:v>
                </c:pt>
                <c:pt idx="13">
                  <c:v>68.991088881473587</c:v>
                </c:pt>
                <c:pt idx="14">
                  <c:v>103.89597415910302</c:v>
                </c:pt>
              </c:numCache>
            </c:numRef>
          </c:xVal>
          <c:yVal>
            <c:numRef>
              <c:f>'0-05'!$Z$17:$Z$41</c:f>
              <c:numCache>
                <c:formatCode>0.00E+00</c:formatCode>
                <c:ptCount val="25"/>
                <c:pt idx="0">
                  <c:v>0</c:v>
                </c:pt>
                <c:pt idx="1">
                  <c:v>1.0000158920210401E-2</c:v>
                </c:pt>
                <c:pt idx="2">
                  <c:v>9.9999676651835984E-2</c:v>
                </c:pt>
                <c:pt idx="3">
                  <c:v>0.99996966548200006</c:v>
                </c:pt>
                <c:pt idx="4">
                  <c:v>2.0000023012239998</c:v>
                </c:pt>
                <c:pt idx="5">
                  <c:v>2.9999291911319999</c:v>
                </c:pt>
                <c:pt idx="6">
                  <c:v>4.9993321847999992</c:v>
                </c:pt>
                <c:pt idx="7">
                  <c:v>7.3694908159999999</c:v>
                </c:pt>
                <c:pt idx="8">
                  <c:v>8.6036704519999994</c:v>
                </c:pt>
                <c:pt idx="9">
                  <c:v>9.5324237240000009</c:v>
                </c:pt>
                <c:pt idx="10">
                  <c:v>10.016886412</c:v>
                </c:pt>
                <c:pt idx="11">
                  <c:v>10.607158616000001</c:v>
                </c:pt>
                <c:pt idx="12">
                  <c:v>10.990644128</c:v>
                </c:pt>
                <c:pt idx="13">
                  <c:v>11.274343691999999</c:v>
                </c:pt>
                <c:pt idx="14">
                  <c:v>11.681069388000001</c:v>
                </c:pt>
              </c:numCache>
            </c:numRef>
          </c:yVal>
          <c:smooth val="1"/>
        </c:ser>
        <c:ser>
          <c:idx val="3"/>
          <c:order val="2"/>
          <c:tx>
            <c:v>0.1 M NaCl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'0-1'!$AB$17:$AB$36</c:f>
              <c:numCache>
                <c:formatCode>General</c:formatCode>
                <c:ptCount val="20"/>
                <c:pt idx="0">
                  <c:v>0</c:v>
                </c:pt>
                <c:pt idx="1">
                  <c:v>8.1932564348638546E-10</c:v>
                </c:pt>
                <c:pt idx="2">
                  <c:v>9.1319321609717032E-9</c:v>
                </c:pt>
                <c:pt idx="3">
                  <c:v>2.8198582367859048E-7</c:v>
                </c:pt>
                <c:pt idx="4">
                  <c:v>2.1910442062199676E-6</c:v>
                </c:pt>
                <c:pt idx="5">
                  <c:v>1.5114520216230644E-5</c:v>
                </c:pt>
                <c:pt idx="6">
                  <c:v>1.0406190707421248E-3</c:v>
                </c:pt>
                <c:pt idx="7">
                  <c:v>0.15228916023758673</c:v>
                </c:pt>
                <c:pt idx="8">
                  <c:v>1.9449486863320871</c:v>
                </c:pt>
                <c:pt idx="9">
                  <c:v>8.8641606086492235</c:v>
                </c:pt>
                <c:pt idx="10">
                  <c:v>16.82208979044314</c:v>
                </c:pt>
                <c:pt idx="11">
                  <c:v>33.562116497597437</c:v>
                </c:pt>
                <c:pt idx="12">
                  <c:v>50.725995581954081</c:v>
                </c:pt>
                <c:pt idx="13">
                  <c:v>68.082262853710631</c:v>
                </c:pt>
                <c:pt idx="14">
                  <c:v>103.09070644687668</c:v>
                </c:pt>
              </c:numCache>
            </c:numRef>
          </c:xVal>
          <c:yVal>
            <c:numRef>
              <c:f>'0-1'!$Z$17:$Z$35</c:f>
              <c:numCache>
                <c:formatCode>0.00E+00</c:formatCode>
                <c:ptCount val="19"/>
                <c:pt idx="0">
                  <c:v>0</c:v>
                </c:pt>
                <c:pt idx="1">
                  <c:v>9.9996340074652006E-3</c:v>
                </c:pt>
                <c:pt idx="2">
                  <c:v>9.9996610348552006E-2</c:v>
                </c:pt>
                <c:pt idx="3">
                  <c:v>0.99998386806639983</c:v>
                </c:pt>
                <c:pt idx="4">
                  <c:v>1.9999389114119999</c:v>
                </c:pt>
                <c:pt idx="5">
                  <c:v>2.99993618866</c:v>
                </c:pt>
                <c:pt idx="6">
                  <c:v>4.9993641756400002</c:v>
                </c:pt>
                <c:pt idx="7">
                  <c:v>7.4144128480000004</c:v>
                </c:pt>
                <c:pt idx="8">
                  <c:v>8.9084075519999999</c:v>
                </c:pt>
                <c:pt idx="9">
                  <c:v>10.024310984000001</c:v>
                </c:pt>
                <c:pt idx="10">
                  <c:v>10.557531608000001</c:v>
                </c:pt>
                <c:pt idx="11">
                  <c:v>11.161424268000001</c:v>
                </c:pt>
                <c:pt idx="12">
                  <c:v>11.52726612</c:v>
                </c:pt>
                <c:pt idx="13">
                  <c:v>11.783739755999999</c:v>
                </c:pt>
                <c:pt idx="14">
                  <c:v>12.133638632000002</c:v>
                </c:pt>
              </c:numCache>
            </c:numRef>
          </c:yVal>
          <c:smooth val="1"/>
        </c:ser>
        <c:ser>
          <c:idx val="4"/>
          <c:order val="3"/>
          <c:tx>
            <c:v>0.3 M NaCl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'0-3'!$AB$17:$AB$37</c:f>
              <c:numCache>
                <c:formatCode>General</c:formatCode>
                <c:ptCount val="21"/>
                <c:pt idx="0">
                  <c:v>0</c:v>
                </c:pt>
                <c:pt idx="1">
                  <c:v>2.0793094874532837E-9</c:v>
                </c:pt>
                <c:pt idx="2">
                  <c:v>2.281184985317672E-8</c:v>
                </c:pt>
                <c:pt idx="3">
                  <c:v>6.0367603881473573E-7</c:v>
                </c:pt>
                <c:pt idx="4">
                  <c:v>3.999102153630539E-6</c:v>
                </c:pt>
                <c:pt idx="5">
                  <c:v>2.338829159636946E-5</c:v>
                </c:pt>
                <c:pt idx="6">
                  <c:v>9.8578820808862795E-4</c:v>
                </c:pt>
                <c:pt idx="7">
                  <c:v>7.0195304538174047E-2</c:v>
                </c:pt>
                <c:pt idx="8">
                  <c:v>1.0792233443673249</c:v>
                </c:pt>
                <c:pt idx="9">
                  <c:v>7.2074181647090221</c:v>
                </c:pt>
                <c:pt idx="10">
                  <c:v>15.026263817405232</c:v>
                </c:pt>
                <c:pt idx="11">
                  <c:v>31.811395939668984</c:v>
                </c:pt>
                <c:pt idx="12">
                  <c:v>49.102522131607046</c:v>
                </c:pt>
                <c:pt idx="13">
                  <c:v>66.589127976508266</c:v>
                </c:pt>
                <c:pt idx="14">
                  <c:v>101.82744886545649</c:v>
                </c:pt>
              </c:numCache>
            </c:numRef>
          </c:xVal>
          <c:yVal>
            <c:numRef>
              <c:f>'0-3'!$Z$17:$Z$36</c:f>
              <c:numCache>
                <c:formatCode>0.00E+00</c:formatCode>
                <c:ptCount val="20"/>
                <c:pt idx="0">
                  <c:v>0</c:v>
                </c:pt>
                <c:pt idx="1">
                  <c:v>1.0000066617271999E-2</c:v>
                </c:pt>
                <c:pt idx="2">
                  <c:v>9.9996391761959999E-2</c:v>
                </c:pt>
                <c:pt idx="3">
                  <c:v>0.99996339467800011</c:v>
                </c:pt>
                <c:pt idx="4">
                  <c:v>2.0000052156120001</c:v>
                </c:pt>
                <c:pt idx="5">
                  <c:v>2.9999660517719997</c:v>
                </c:pt>
                <c:pt idx="6">
                  <c:v>4.9993310610000012</c:v>
                </c:pt>
                <c:pt idx="7">
                  <c:v>7.460470667200001</c:v>
                </c:pt>
                <c:pt idx="8">
                  <c:v>9.3941513719999996</c:v>
                </c:pt>
                <c:pt idx="9">
                  <c:v>10.954277960000002</c:v>
                </c:pt>
                <c:pt idx="10">
                  <c:v>11.565430368000001</c:v>
                </c:pt>
                <c:pt idx="11">
                  <c:v>12.142973663999999</c:v>
                </c:pt>
                <c:pt idx="12">
                  <c:v>12.437978656000002</c:v>
                </c:pt>
                <c:pt idx="13">
                  <c:v>12.62173494</c:v>
                </c:pt>
                <c:pt idx="14">
                  <c:v>12.84233688</c:v>
                </c:pt>
              </c:numCache>
            </c:numRef>
          </c:yVal>
          <c:smooth val="1"/>
        </c:ser>
        <c:ser>
          <c:idx val="5"/>
          <c:order val="4"/>
          <c:tx>
            <c:v>0.5 M NaCl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'0-5'!$AB$17:$AB$35</c:f>
              <c:numCache>
                <c:formatCode>General</c:formatCode>
                <c:ptCount val="19"/>
                <c:pt idx="0">
                  <c:v>0</c:v>
                </c:pt>
                <c:pt idx="1">
                  <c:v>2.9956397238387614E-9</c:v>
                </c:pt>
                <c:pt idx="2">
                  <c:v>3.2646910870261614E-8</c:v>
                </c:pt>
                <c:pt idx="3">
                  <c:v>8.076213623865456E-7</c:v>
                </c:pt>
                <c:pt idx="4">
                  <c:v>4.9539253707955143E-6</c:v>
                </c:pt>
                <c:pt idx="5">
                  <c:v>2.6520755912973841E-5</c:v>
                </c:pt>
                <c:pt idx="6">
                  <c:v>8.6296157421249351E-4</c:v>
                </c:pt>
                <c:pt idx="7">
                  <c:v>4.4401477219701023E-2</c:v>
                </c:pt>
                <c:pt idx="8">
                  <c:v>0.70716357100907634</c:v>
                </c:pt>
                <c:pt idx="9">
                  <c:v>6.3010395985050716</c:v>
                </c:pt>
                <c:pt idx="10">
                  <c:v>14.091963650560599</c:v>
                </c:pt>
                <c:pt idx="11">
                  <c:v>30.99797989588895</c:v>
                </c:pt>
                <c:pt idx="12">
                  <c:v>48.407645613988251</c:v>
                </c:pt>
                <c:pt idx="13">
                  <c:v>65.991189695675388</c:v>
                </c:pt>
                <c:pt idx="14">
                  <c:v>101.36362745595302</c:v>
                </c:pt>
              </c:numCache>
            </c:numRef>
          </c:xVal>
          <c:yVal>
            <c:numRef>
              <c:f>'0-5'!$Z$17:$Z$35</c:f>
              <c:numCache>
                <c:formatCode>0.00E+00</c:formatCode>
                <c:ptCount val="19"/>
                <c:pt idx="0">
                  <c:v>0</c:v>
                </c:pt>
                <c:pt idx="1">
                  <c:v>9.9997108896200011E-3</c:v>
                </c:pt>
                <c:pt idx="2">
                  <c:v>0.10000214194687999</c:v>
                </c:pt>
                <c:pt idx="3">
                  <c:v>0.99999919070479992</c:v>
                </c:pt>
                <c:pt idx="4">
                  <c:v>1.99999475678</c:v>
                </c:pt>
                <c:pt idx="5">
                  <c:v>2.9999399871039998</c:v>
                </c:pt>
                <c:pt idx="6">
                  <c:v>4.999513641040001</c:v>
                </c:pt>
                <c:pt idx="7">
                  <c:v>7.4749564492000022</c:v>
                </c:pt>
                <c:pt idx="8">
                  <c:v>9.6032231239999994</c:v>
                </c:pt>
                <c:pt idx="9">
                  <c:v>11.462804952000001</c:v>
                </c:pt>
                <c:pt idx="10">
                  <c:v>12.089353419999998</c:v>
                </c:pt>
                <c:pt idx="11">
                  <c:v>12.599985664</c:v>
                </c:pt>
                <c:pt idx="12">
                  <c:v>12.827420308000001</c:v>
                </c:pt>
                <c:pt idx="13">
                  <c:v>12.958020851999999</c:v>
                </c:pt>
                <c:pt idx="14">
                  <c:v>13.102616452000001</c:v>
                </c:pt>
              </c:numCache>
            </c:numRef>
          </c:yVal>
          <c:smooth val="1"/>
        </c:ser>
        <c:ser>
          <c:idx val="1"/>
          <c:order val="5"/>
          <c:tx>
            <c:v>0.7 M NaCl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'0-7'!$AB$17:$AB$92</c:f>
              <c:numCache>
                <c:formatCode>General</c:formatCode>
                <c:ptCount val="76"/>
                <c:pt idx="0">
                  <c:v>0</c:v>
                </c:pt>
                <c:pt idx="1">
                  <c:v>3.5720299109717026E-9</c:v>
                </c:pt>
                <c:pt idx="2">
                  <c:v>3.8767247681526966E-8</c:v>
                </c:pt>
                <c:pt idx="3">
                  <c:v>9.1895840736785901E-7</c:v>
                </c:pt>
                <c:pt idx="4">
                  <c:v>5.355507554458088E-6</c:v>
                </c:pt>
                <c:pt idx="5">
                  <c:v>2.6957998649225841E-5</c:v>
                </c:pt>
                <c:pt idx="6">
                  <c:v>7.3531884036305388E-4</c:v>
                </c:pt>
                <c:pt idx="7">
                  <c:v>3.0715839949279233E-2</c:v>
                </c:pt>
                <c:pt idx="8">
                  <c:v>0.4894652326348104</c:v>
                </c:pt>
                <c:pt idx="9">
                  <c:v>5.6524329087026164</c:v>
                </c:pt>
                <c:pt idx="10">
                  <c:v>13.467529941270687</c:v>
                </c:pt>
                <c:pt idx="11">
                  <c:v>30.514298335557932</c:v>
                </c:pt>
                <c:pt idx="12">
                  <c:v>48.025529715696749</c:v>
                </c:pt>
                <c:pt idx="13">
                  <c:v>65.676623291510936</c:v>
                </c:pt>
                <c:pt idx="14">
                  <c:v>101.13414458088627</c:v>
                </c:pt>
              </c:numCache>
            </c:numRef>
          </c:xVal>
          <c:yVal>
            <c:numRef>
              <c:f>'0-7'!$Z$17:$Z$42</c:f>
              <c:numCache>
                <c:formatCode>0.00E+00</c:formatCode>
                <c:ptCount val="26"/>
                <c:pt idx="0">
                  <c:v>0</c:v>
                </c:pt>
                <c:pt idx="1">
                  <c:v>9.999590395784002E-3</c:v>
                </c:pt>
                <c:pt idx="2">
                  <c:v>9.9999752073800005E-2</c:v>
                </c:pt>
                <c:pt idx="3">
                  <c:v>0.99998155453679993</c:v>
                </c:pt>
                <c:pt idx="4">
                  <c:v>2.0000102202680003</c:v>
                </c:pt>
                <c:pt idx="5">
                  <c:v>2.999948333192</c:v>
                </c:pt>
                <c:pt idx="6">
                  <c:v>4.9995048004800013</c:v>
                </c:pt>
                <c:pt idx="7">
                  <c:v>7.4826851964000003</c:v>
                </c:pt>
                <c:pt idx="8">
                  <c:v>9.7254026599999985</c:v>
                </c:pt>
                <c:pt idx="9">
                  <c:v>11.826826248</c:v>
                </c:pt>
                <c:pt idx="10">
                  <c:v>12.440510952000002</c:v>
                </c:pt>
                <c:pt idx="11">
                  <c:v>12.871046224000001</c:v>
                </c:pt>
                <c:pt idx="12">
                  <c:v>13.042635499999998</c:v>
                </c:pt>
                <c:pt idx="13">
                  <c:v>13.134449960000001</c:v>
                </c:pt>
                <c:pt idx="14">
                  <c:v>13.231741072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246520"/>
        <c:axId val="475246912"/>
      </c:scatterChart>
      <c:valAx>
        <c:axId val="475246520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As(V) (aq) (ppb)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46912"/>
        <c:crosses val="autoZero"/>
        <c:crossBetween val="midCat"/>
      </c:valAx>
      <c:valAx>
        <c:axId val="47524691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As(V) (ads) (mg g-1)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46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2</xdr:row>
      <xdr:rowOff>66675</xdr:rowOff>
    </xdr:from>
    <xdr:to>
      <xdr:col>7</xdr:col>
      <xdr:colOff>476250</xdr:colOff>
      <xdr:row>16</xdr:row>
      <xdr:rowOff>142875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314325</xdr:colOff>
      <xdr:row>2</xdr:row>
      <xdr:rowOff>76200</xdr:rowOff>
    </xdr:from>
    <xdr:to>
      <xdr:col>16</xdr:col>
      <xdr:colOff>9525</xdr:colOff>
      <xdr:row>16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0.125</cdr:x>
      <cdr:y>0.58681</cdr:y>
    </cdr:from>
    <cdr:to>
      <cdr:x>0.73125</cdr:x>
      <cdr:y>0.58681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571500" y="1609725"/>
          <a:ext cx="2771775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0.13958</cdr:x>
      <cdr:y>0.49306</cdr:y>
    </cdr:from>
    <cdr:to>
      <cdr:x>0.33542</cdr:x>
      <cdr:y>0.56944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38175" y="1352550"/>
          <a:ext cx="895350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>
              <a:solidFill>
                <a:srgbClr val="FF0000"/>
              </a:solidFill>
            </a:rPr>
            <a:t>WHO limit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22" sqref="H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Views>
    <sheetView workbookViewId="0">
      <selection activeCell="Z24" sqref="Z24"/>
    </sheetView>
  </sheetViews>
  <sheetFormatPr defaultRowHeight="15" x14ac:dyDescent="0.25"/>
  <cols>
    <col min="26" max="26" width="13.7109375" customWidth="1"/>
    <col min="28" max="28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24</v>
      </c>
      <c r="Z1" t="s">
        <v>27</v>
      </c>
      <c r="AA1" t="s">
        <v>25</v>
      </c>
      <c r="AB1" t="s">
        <v>26</v>
      </c>
      <c r="AC1" t="s">
        <v>28</v>
      </c>
    </row>
    <row r="2" spans="1:29" x14ac:dyDescent="0.25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7</v>
      </c>
      <c r="H2">
        <v>4</v>
      </c>
      <c r="I2">
        <v>-99</v>
      </c>
      <c r="J2">
        <v>25</v>
      </c>
      <c r="K2" s="1">
        <v>-2.5213600000000001E-9</v>
      </c>
      <c r="L2">
        <v>9.9858900000000007E-3</v>
      </c>
      <c r="M2">
        <v>1</v>
      </c>
      <c r="N2" s="1">
        <v>2.5179899999999999E-9</v>
      </c>
      <c r="O2" s="1">
        <v>1.26077E-5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Y2" s="1"/>
      <c r="Z2" s="1"/>
    </row>
    <row r="3" spans="1:29" x14ac:dyDescent="0.25">
      <c r="A3">
        <v>6</v>
      </c>
      <c r="B3" t="s">
        <v>22</v>
      </c>
      <c r="C3">
        <v>2</v>
      </c>
      <c r="D3">
        <v>-99</v>
      </c>
      <c r="E3">
        <v>-99</v>
      </c>
      <c r="F3">
        <v>-99</v>
      </c>
      <c r="G3">
        <v>7</v>
      </c>
      <c r="H3">
        <v>4</v>
      </c>
      <c r="I3">
        <v>-99</v>
      </c>
      <c r="J3">
        <v>25</v>
      </c>
      <c r="K3" s="1">
        <v>9.29053E-7</v>
      </c>
      <c r="L3">
        <v>9.9879600000000006E-3</v>
      </c>
      <c r="M3">
        <v>1</v>
      </c>
      <c r="N3" s="1">
        <v>-2.2637800000000001E-6</v>
      </c>
      <c r="O3">
        <v>-1.1333599999999999E-2</v>
      </c>
      <c r="P3" s="1">
        <v>3.9452000000000001E-11</v>
      </c>
      <c r="Q3" s="1">
        <v>9.315E-7</v>
      </c>
      <c r="R3" s="1">
        <v>4.0317999999999999E-7</v>
      </c>
      <c r="S3" s="1">
        <v>6.1509000000000004E-12</v>
      </c>
      <c r="T3" s="1">
        <v>0</v>
      </c>
      <c r="U3" s="1">
        <v>0</v>
      </c>
      <c r="V3" s="1">
        <v>0</v>
      </c>
      <c r="Y3" s="1"/>
      <c r="Z3" s="1"/>
    </row>
    <row r="4" spans="1:29" x14ac:dyDescent="0.25">
      <c r="A4">
        <v>7</v>
      </c>
      <c r="B4" t="s">
        <v>22</v>
      </c>
      <c r="C4">
        <v>3</v>
      </c>
      <c r="D4">
        <v>-99</v>
      </c>
      <c r="E4">
        <v>-99</v>
      </c>
      <c r="F4">
        <v>-99</v>
      </c>
      <c r="G4">
        <v>7</v>
      </c>
      <c r="H4">
        <v>4</v>
      </c>
      <c r="I4">
        <v>-99</v>
      </c>
      <c r="J4">
        <v>25</v>
      </c>
      <c r="K4" s="1">
        <v>9.3139200000000004E-6</v>
      </c>
      <c r="L4">
        <v>1.00065E-2</v>
      </c>
      <c r="M4">
        <v>1</v>
      </c>
      <c r="N4" s="1">
        <v>-2.2661199999999999E-5</v>
      </c>
      <c r="O4">
        <v>-0.11333799999999999</v>
      </c>
      <c r="P4" s="1">
        <v>3.9472000000000001E-10</v>
      </c>
      <c r="Q4" s="1">
        <v>9.3156999999999996E-6</v>
      </c>
      <c r="R4" s="1">
        <v>4.0311000000000002E-6</v>
      </c>
      <c r="S4" s="1">
        <v>6.1492000000000003E-11</v>
      </c>
      <c r="T4" s="1">
        <v>0</v>
      </c>
      <c r="U4" s="1">
        <v>0</v>
      </c>
      <c r="V4" s="1">
        <v>0</v>
      </c>
      <c r="Y4" s="1"/>
      <c r="Z4" s="1"/>
    </row>
    <row r="5" spans="1:29" x14ac:dyDescent="0.25">
      <c r="A5">
        <v>8</v>
      </c>
      <c r="B5" t="s">
        <v>22</v>
      </c>
      <c r="C5">
        <v>4</v>
      </c>
      <c r="D5">
        <v>-99</v>
      </c>
      <c r="E5">
        <v>-99</v>
      </c>
      <c r="F5">
        <v>-99</v>
      </c>
      <c r="G5">
        <v>7</v>
      </c>
      <c r="H5">
        <v>4</v>
      </c>
      <c r="I5">
        <v>-99</v>
      </c>
      <c r="J5">
        <v>25</v>
      </c>
      <c r="K5" s="1">
        <v>9.3232099999999998E-5</v>
      </c>
      <c r="L5">
        <v>1.01925E-2</v>
      </c>
      <c r="M5">
        <v>1</v>
      </c>
      <c r="N5">
        <v>-2.2670500000000001E-4</v>
      </c>
      <c r="O5">
        <v>-1.1223799999999999</v>
      </c>
      <c r="P5" s="1">
        <v>3.9672000000000001E-9</v>
      </c>
      <c r="Q5" s="1">
        <v>9.3226999999999994E-5</v>
      </c>
      <c r="R5" s="1">
        <v>4.0241000000000003E-5</v>
      </c>
      <c r="S5" s="1">
        <v>6.1332000000000001E-10</v>
      </c>
      <c r="T5" s="1">
        <v>0</v>
      </c>
      <c r="U5" s="1">
        <v>0</v>
      </c>
      <c r="V5" s="1">
        <v>0</v>
      </c>
      <c r="Y5" s="1"/>
      <c r="Z5" s="1"/>
    </row>
    <row r="6" spans="1:29" x14ac:dyDescent="0.25">
      <c r="A6">
        <v>9</v>
      </c>
      <c r="B6" t="s">
        <v>22</v>
      </c>
      <c r="C6">
        <v>5</v>
      </c>
      <c r="D6">
        <v>-99</v>
      </c>
      <c r="E6">
        <v>-99</v>
      </c>
      <c r="F6">
        <v>-99</v>
      </c>
      <c r="G6">
        <v>7</v>
      </c>
      <c r="H6">
        <v>4</v>
      </c>
      <c r="I6">
        <v>-99</v>
      </c>
      <c r="J6">
        <v>25</v>
      </c>
      <c r="K6">
        <v>1.8662099999999999E-4</v>
      </c>
      <c r="L6">
        <v>1.03994E-2</v>
      </c>
      <c r="M6">
        <v>1</v>
      </c>
      <c r="N6">
        <v>-4.5356699999999999E-4</v>
      </c>
      <c r="O6">
        <v>-2.2205900000000001</v>
      </c>
      <c r="P6" s="1">
        <v>7.9787000000000002E-9</v>
      </c>
      <c r="Q6" s="1">
        <v>1.8661E-4</v>
      </c>
      <c r="R6" s="1">
        <v>8.0327999999999994E-5</v>
      </c>
      <c r="S6" s="1">
        <v>1.2231E-9</v>
      </c>
      <c r="T6" s="1">
        <v>0</v>
      </c>
      <c r="U6" s="1">
        <v>0</v>
      </c>
      <c r="V6" s="1">
        <v>0</v>
      </c>
      <c r="Y6" s="1"/>
      <c r="Z6" s="1"/>
    </row>
    <row r="7" spans="1:29" x14ac:dyDescent="0.25">
      <c r="A7">
        <v>10</v>
      </c>
      <c r="B7" t="s">
        <v>22</v>
      </c>
      <c r="C7">
        <v>6</v>
      </c>
      <c r="D7">
        <v>-99</v>
      </c>
      <c r="E7">
        <v>-99</v>
      </c>
      <c r="F7">
        <v>-99</v>
      </c>
      <c r="G7">
        <v>7</v>
      </c>
      <c r="H7">
        <v>4</v>
      </c>
      <c r="I7">
        <v>-99</v>
      </c>
      <c r="J7">
        <v>25</v>
      </c>
      <c r="K7">
        <v>2.8016100000000002E-4</v>
      </c>
      <c r="L7">
        <v>1.06064E-2</v>
      </c>
      <c r="M7">
        <v>1</v>
      </c>
      <c r="N7">
        <v>-6.8057899999999995E-4</v>
      </c>
      <c r="O7">
        <v>-3.2953800000000002</v>
      </c>
      <c r="P7" s="1">
        <v>1.2034E-8</v>
      </c>
      <c r="Q7" s="1">
        <v>2.8014000000000001E-4</v>
      </c>
      <c r="R7" s="1">
        <v>1.2026E-4</v>
      </c>
      <c r="S7" s="1">
        <v>1.8293999999999999E-9</v>
      </c>
      <c r="T7" s="1">
        <v>0</v>
      </c>
      <c r="U7" s="1">
        <v>0</v>
      </c>
      <c r="V7" s="1">
        <v>0</v>
      </c>
      <c r="Y7" s="1"/>
      <c r="Z7" s="1"/>
    </row>
    <row r="8" spans="1:29" x14ac:dyDescent="0.25">
      <c r="A8">
        <v>11</v>
      </c>
      <c r="B8" t="s">
        <v>22</v>
      </c>
      <c r="C8">
        <v>7</v>
      </c>
      <c r="D8">
        <v>-99</v>
      </c>
      <c r="E8">
        <v>-99</v>
      </c>
      <c r="F8">
        <v>-99</v>
      </c>
      <c r="G8">
        <v>7</v>
      </c>
      <c r="H8">
        <v>4</v>
      </c>
      <c r="I8">
        <v>-99</v>
      </c>
      <c r="J8">
        <v>25</v>
      </c>
      <c r="K8">
        <v>4.6768299999999999E-4</v>
      </c>
      <c r="L8">
        <v>1.1021299999999999E-2</v>
      </c>
      <c r="M8">
        <v>1</v>
      </c>
      <c r="N8">
        <v>-1.1350500000000001E-3</v>
      </c>
      <c r="O8">
        <v>-5.3775599999999999</v>
      </c>
      <c r="P8" s="1">
        <v>2.0275000000000001E-8</v>
      </c>
      <c r="Q8" s="1">
        <v>4.6765000000000001E-4</v>
      </c>
      <c r="R8" s="1">
        <v>1.9969000000000001E-4</v>
      </c>
      <c r="S8" s="1">
        <v>3.0319999999999999E-9</v>
      </c>
      <c r="T8" s="1">
        <v>0</v>
      </c>
      <c r="U8" s="1">
        <v>0</v>
      </c>
      <c r="V8" s="1">
        <v>0</v>
      </c>
      <c r="Y8" s="1"/>
      <c r="Z8" s="1"/>
    </row>
    <row r="9" spans="1:29" x14ac:dyDescent="0.25">
      <c r="A9">
        <v>12</v>
      </c>
      <c r="B9" t="s">
        <v>22</v>
      </c>
      <c r="C9">
        <v>8</v>
      </c>
      <c r="D9">
        <v>-99</v>
      </c>
      <c r="E9">
        <v>-99</v>
      </c>
      <c r="F9">
        <v>-99</v>
      </c>
      <c r="G9">
        <v>7</v>
      </c>
      <c r="H9">
        <v>4</v>
      </c>
      <c r="I9">
        <v>-99</v>
      </c>
      <c r="J9">
        <v>25</v>
      </c>
      <c r="K9">
        <v>7.0288800000000004E-4</v>
      </c>
      <c r="L9">
        <v>1.1540999999999999E-2</v>
      </c>
      <c r="M9">
        <v>1</v>
      </c>
      <c r="N9">
        <v>-1.70393E-3</v>
      </c>
      <c r="O9">
        <v>-7.8608900000000004</v>
      </c>
      <c r="P9" s="1">
        <v>3.0816000000000003E-8</v>
      </c>
      <c r="Q9" s="1">
        <v>7.0282999999999999E-4</v>
      </c>
      <c r="R9" s="1">
        <v>2.9817999999999999E-4</v>
      </c>
      <c r="S9" s="1">
        <v>4.5170999999999996E-9</v>
      </c>
      <c r="T9" s="1">
        <v>0</v>
      </c>
      <c r="U9" s="1">
        <v>0</v>
      </c>
      <c r="V9" s="1">
        <v>0</v>
      </c>
      <c r="Y9" s="1"/>
      <c r="Z9" s="1"/>
    </row>
    <row r="10" spans="1:29" x14ac:dyDescent="0.25">
      <c r="A10">
        <v>13</v>
      </c>
      <c r="B10" t="s">
        <v>22</v>
      </c>
      <c r="C10">
        <v>9</v>
      </c>
      <c r="D10">
        <v>-99</v>
      </c>
      <c r="E10">
        <v>-99</v>
      </c>
      <c r="F10">
        <v>-99</v>
      </c>
      <c r="G10">
        <v>7</v>
      </c>
      <c r="H10">
        <v>4</v>
      </c>
      <c r="I10">
        <v>-99</v>
      </c>
      <c r="J10">
        <v>25</v>
      </c>
      <c r="K10">
        <v>9.38948E-4</v>
      </c>
      <c r="L10">
        <v>1.2062E-2</v>
      </c>
      <c r="M10">
        <v>1</v>
      </c>
      <c r="N10">
        <v>-2.2736800000000001E-3</v>
      </c>
      <c r="O10">
        <v>-10.220599999999999</v>
      </c>
      <c r="P10" s="1">
        <v>4.1619999999999998E-8</v>
      </c>
      <c r="Q10" s="1">
        <v>9.3886999999999996E-4</v>
      </c>
      <c r="R10" s="1">
        <v>3.9581000000000002E-4</v>
      </c>
      <c r="S10" s="1">
        <v>5.9827E-9</v>
      </c>
      <c r="T10" s="1">
        <v>0</v>
      </c>
      <c r="U10" s="1">
        <v>0</v>
      </c>
      <c r="V10" s="1">
        <v>0</v>
      </c>
      <c r="Y10" s="1"/>
      <c r="Z10" s="1"/>
    </row>
    <row r="11" spans="1:29" x14ac:dyDescent="0.25">
      <c r="A11">
        <v>14</v>
      </c>
      <c r="B11" t="s">
        <v>22</v>
      </c>
      <c r="C11">
        <v>10</v>
      </c>
      <c r="D11">
        <v>-99</v>
      </c>
      <c r="E11">
        <v>-99</v>
      </c>
      <c r="F11">
        <v>-99</v>
      </c>
      <c r="G11">
        <v>7</v>
      </c>
      <c r="H11">
        <v>4</v>
      </c>
      <c r="I11">
        <v>-99</v>
      </c>
      <c r="J11">
        <v>25</v>
      </c>
      <c r="K11">
        <v>1.4135E-3</v>
      </c>
      <c r="L11">
        <v>1.3107600000000001E-2</v>
      </c>
      <c r="M11">
        <v>1</v>
      </c>
      <c r="N11">
        <v>-3.41559E-3</v>
      </c>
      <c r="O11">
        <v>-14.603999999999999</v>
      </c>
      <c r="P11" s="1">
        <v>6.3995999999999999E-8</v>
      </c>
      <c r="Q11" s="1">
        <v>1.4134E-3</v>
      </c>
      <c r="R11" s="1">
        <v>5.8863999999999997E-4</v>
      </c>
      <c r="S11" s="1">
        <v>8.8591999999999994E-9</v>
      </c>
      <c r="T11" s="1">
        <v>0</v>
      </c>
      <c r="U11" s="1">
        <v>0</v>
      </c>
      <c r="V11" s="1">
        <v>0</v>
      </c>
      <c r="Y11" s="1"/>
      <c r="Z11" s="1"/>
    </row>
    <row r="12" spans="1:29" x14ac:dyDescent="0.25">
      <c r="A12">
        <v>15</v>
      </c>
      <c r="B12" t="s">
        <v>22</v>
      </c>
      <c r="C12">
        <v>11</v>
      </c>
      <c r="D12">
        <v>-99</v>
      </c>
      <c r="E12">
        <v>-99</v>
      </c>
      <c r="F12">
        <v>-99</v>
      </c>
      <c r="G12">
        <v>7</v>
      </c>
      <c r="H12">
        <v>4</v>
      </c>
      <c r="I12">
        <v>-99</v>
      </c>
      <c r="J12">
        <v>25</v>
      </c>
      <c r="K12">
        <v>1.8910800000000001E-3</v>
      </c>
      <c r="L12">
        <v>1.41578E-2</v>
      </c>
      <c r="M12">
        <v>1</v>
      </c>
      <c r="N12">
        <v>-4.5605300000000001E-3</v>
      </c>
      <c r="O12">
        <v>-18.589200000000002</v>
      </c>
      <c r="P12" s="1">
        <v>8.7370999999999995E-8</v>
      </c>
      <c r="Q12" s="1">
        <v>1.8909E-3</v>
      </c>
      <c r="R12" s="1">
        <v>7.7844000000000003E-4</v>
      </c>
      <c r="S12" s="1">
        <v>1.1668000000000001E-8</v>
      </c>
      <c r="T12" s="1">
        <v>0</v>
      </c>
      <c r="U12" s="1">
        <v>0</v>
      </c>
      <c r="V12" s="1">
        <v>0</v>
      </c>
      <c r="Y12" s="1"/>
      <c r="Z12" s="1"/>
    </row>
    <row r="13" spans="1:29" x14ac:dyDescent="0.25">
      <c r="A13">
        <v>16</v>
      </c>
      <c r="B13" t="s">
        <v>22</v>
      </c>
      <c r="C13">
        <v>12</v>
      </c>
      <c r="D13">
        <v>-99</v>
      </c>
      <c r="E13">
        <v>-99</v>
      </c>
      <c r="F13">
        <v>-99</v>
      </c>
      <c r="G13">
        <v>7</v>
      </c>
      <c r="H13">
        <v>4</v>
      </c>
      <c r="I13">
        <v>-99</v>
      </c>
      <c r="J13">
        <v>25</v>
      </c>
      <c r="K13">
        <v>2.8544899999999999E-3</v>
      </c>
      <c r="L13">
        <v>1.62706E-2</v>
      </c>
      <c r="M13">
        <v>1</v>
      </c>
      <c r="N13">
        <v>-6.8586699999999999E-3</v>
      </c>
      <c r="O13">
        <v>-25.561699999999998</v>
      </c>
      <c r="P13" s="1">
        <v>1.3701000000000001E-7</v>
      </c>
      <c r="Q13" s="1">
        <v>2.8541999999999999E-3</v>
      </c>
      <c r="R13" s="1">
        <v>1.1498000000000001E-3</v>
      </c>
      <c r="S13" s="1">
        <v>1.7100999999999999E-8</v>
      </c>
      <c r="T13" s="1">
        <v>0</v>
      </c>
      <c r="U13" s="1">
        <v>0</v>
      </c>
      <c r="V13" s="1">
        <v>0</v>
      </c>
      <c r="Y13" s="1"/>
      <c r="Z13" s="1"/>
    </row>
    <row r="14" spans="1:29" x14ac:dyDescent="0.25">
      <c r="A14">
        <v>17</v>
      </c>
      <c r="B14" t="s">
        <v>22</v>
      </c>
      <c r="C14">
        <v>13</v>
      </c>
      <c r="D14">
        <v>-99</v>
      </c>
      <c r="E14">
        <v>-99</v>
      </c>
      <c r="F14">
        <v>-99</v>
      </c>
      <c r="G14">
        <v>7</v>
      </c>
      <c r="H14">
        <v>4</v>
      </c>
      <c r="I14">
        <v>-99</v>
      </c>
      <c r="J14">
        <v>25</v>
      </c>
      <c r="K14">
        <v>3.82775E-3</v>
      </c>
      <c r="L14">
        <v>1.8398100000000001E-2</v>
      </c>
      <c r="M14">
        <v>1</v>
      </c>
      <c r="N14">
        <v>-9.16667E-3</v>
      </c>
      <c r="O14">
        <v>-31.457100000000001</v>
      </c>
      <c r="P14" s="1">
        <v>1.9034E-7</v>
      </c>
      <c r="Q14" s="1">
        <v>3.8273999999999999E-3</v>
      </c>
      <c r="R14" s="1">
        <v>1.5112999999999999E-3</v>
      </c>
      <c r="S14" s="1">
        <v>2.2317999999999998E-8</v>
      </c>
      <c r="T14" s="1">
        <v>0</v>
      </c>
      <c r="U14" s="1">
        <v>0</v>
      </c>
      <c r="V14" s="1">
        <v>0</v>
      </c>
      <c r="Y14" s="1"/>
      <c r="Z14" s="1"/>
    </row>
    <row r="15" spans="1:29" x14ac:dyDescent="0.25">
      <c r="A15">
        <v>18</v>
      </c>
      <c r="B15" t="s">
        <v>22</v>
      </c>
      <c r="C15">
        <v>14</v>
      </c>
      <c r="D15">
        <v>-99</v>
      </c>
      <c r="E15">
        <v>-99</v>
      </c>
      <c r="F15">
        <v>-99</v>
      </c>
      <c r="G15">
        <v>7</v>
      </c>
      <c r="H15">
        <v>4</v>
      </c>
      <c r="I15">
        <v>-99</v>
      </c>
      <c r="J15">
        <v>25</v>
      </c>
      <c r="K15">
        <v>4.8097399999999998E-3</v>
      </c>
      <c r="L15">
        <v>2.0538600000000001E-2</v>
      </c>
      <c r="M15">
        <v>1</v>
      </c>
      <c r="N15">
        <v>-1.14834E-2</v>
      </c>
      <c r="O15">
        <v>-36.5047</v>
      </c>
      <c r="P15" s="1">
        <v>2.4722000000000001E-7</v>
      </c>
      <c r="Q15" s="1">
        <v>4.8092999999999999E-3</v>
      </c>
      <c r="R15" s="1">
        <v>1.8641E-3</v>
      </c>
      <c r="S15" s="1">
        <v>2.7345000000000001E-8</v>
      </c>
      <c r="T15" s="1">
        <v>0</v>
      </c>
      <c r="U15" s="1">
        <v>0</v>
      </c>
      <c r="V15" s="1">
        <v>0</v>
      </c>
      <c r="Y15" s="1"/>
      <c r="Z15" s="1"/>
    </row>
    <row r="16" spans="1:29" x14ac:dyDescent="0.25">
      <c r="A16">
        <v>19</v>
      </c>
      <c r="B16" t="s">
        <v>22</v>
      </c>
      <c r="C16">
        <v>15</v>
      </c>
      <c r="D16">
        <v>-99</v>
      </c>
      <c r="E16">
        <v>-99</v>
      </c>
      <c r="F16">
        <v>-99</v>
      </c>
      <c r="G16">
        <v>7</v>
      </c>
      <c r="H16">
        <v>4</v>
      </c>
      <c r="I16">
        <v>-99</v>
      </c>
      <c r="J16">
        <v>25</v>
      </c>
      <c r="K16">
        <v>6.7964000000000002E-3</v>
      </c>
      <c r="L16">
        <v>2.4853799999999999E-2</v>
      </c>
      <c r="M16">
        <v>1</v>
      </c>
      <c r="N16">
        <v>-1.6139500000000001E-2</v>
      </c>
      <c r="O16">
        <v>-44.690399999999997</v>
      </c>
      <c r="P16" s="1">
        <v>3.7118999999999998E-7</v>
      </c>
      <c r="Q16" s="1">
        <v>6.7957E-3</v>
      </c>
      <c r="R16" s="1">
        <v>2.5469999999999998E-3</v>
      </c>
      <c r="S16" s="1">
        <v>3.6909000000000003E-8</v>
      </c>
      <c r="T16" s="1">
        <v>0</v>
      </c>
      <c r="U16" s="1">
        <v>0</v>
      </c>
      <c r="V16" s="1">
        <v>0</v>
      </c>
      <c r="Y16" s="1"/>
      <c r="Z16" s="1"/>
    </row>
    <row r="17" spans="1:30" x14ac:dyDescent="0.25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7</v>
      </c>
      <c r="H17">
        <v>-1.4407799999999999</v>
      </c>
      <c r="I17">
        <v>-99</v>
      </c>
      <c r="J17">
        <v>25</v>
      </c>
      <c r="K17" s="1">
        <v>-2.5315599999999999E-9</v>
      </c>
      <c r="L17">
        <v>9.9178300000000007E-3</v>
      </c>
      <c r="M17">
        <v>0.99999800000000005</v>
      </c>
      <c r="N17">
        <v>-1.3652900000000001E-4</v>
      </c>
      <c r="O17">
        <v>-0.68830199999999997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Y17" s="1">
        <f>T17+U17+V17</f>
        <v>0</v>
      </c>
      <c r="Z17" s="1">
        <f>(Y17*1000*74.92)/10</f>
        <v>0</v>
      </c>
      <c r="AA17" s="1">
        <f>P17+Q17+R17+S17</f>
        <v>0</v>
      </c>
      <c r="AB17">
        <f>AA17*(10^6)/74.92</f>
        <v>0</v>
      </c>
      <c r="AC17" s="1">
        <f>SUM(P17:V17)*74.92*10^3</f>
        <v>0</v>
      </c>
      <c r="AD17" s="1"/>
    </row>
    <row r="18" spans="1:30" x14ac:dyDescent="0.25">
      <c r="A18">
        <v>22</v>
      </c>
      <c r="B18" t="s">
        <v>23</v>
      </c>
      <c r="C18">
        <v>2</v>
      </c>
      <c r="D18">
        <v>-99</v>
      </c>
      <c r="E18">
        <v>0</v>
      </c>
      <c r="F18">
        <v>1</v>
      </c>
      <c r="G18">
        <v>7</v>
      </c>
      <c r="H18">
        <v>0.55246600000000001</v>
      </c>
      <c r="I18">
        <v>-99</v>
      </c>
      <c r="J18">
        <v>25</v>
      </c>
      <c r="K18" s="1">
        <v>-2.5316800000000001E-9</v>
      </c>
      <c r="L18">
        <v>9.9169800000000006E-3</v>
      </c>
      <c r="M18">
        <v>0.99999800000000005</v>
      </c>
      <c r="N18">
        <v>-1.38243E-4</v>
      </c>
      <c r="O18">
        <v>-0.69700499999999999</v>
      </c>
      <c r="P18" s="1">
        <v>3.6560999999999998E-19</v>
      </c>
      <c r="Q18" s="1">
        <v>8.6467000000000007E-15</v>
      </c>
      <c r="R18" s="1">
        <v>3.7462E-15</v>
      </c>
      <c r="S18" s="1">
        <v>5.7170000000000006E-20</v>
      </c>
      <c r="T18" s="1">
        <v>1.3083E-6</v>
      </c>
      <c r="U18" s="1">
        <v>2.6441000000000002E-8</v>
      </c>
      <c r="V18" s="1">
        <v>2.1274E-12</v>
      </c>
      <c r="Y18" s="1">
        <f t="shared" ref="Y18:Y28" si="0">T18+U18+V18</f>
        <v>1.3347431274E-6</v>
      </c>
      <c r="Z18" s="1">
        <f t="shared" ref="Z18:Z31" si="1">(Y18*1000*74.92)/10</f>
        <v>9.9998955104808017E-3</v>
      </c>
      <c r="AA18" s="1">
        <f t="shared" ref="AA18:AA28" si="2">P18+Q18+R18+S18</f>
        <v>1.2393322780000003E-14</v>
      </c>
      <c r="AB18">
        <f t="shared" ref="AB18:AB31" si="3">AA18*(10^6)/74.92</f>
        <v>1.6542075253603848E-10</v>
      </c>
      <c r="AC18" s="1">
        <f t="shared" ref="AC18:AC28" si="4">SUM(P18:V18)*74.92*10^3</f>
        <v>9.9998956033315753E-2</v>
      </c>
    </row>
    <row r="19" spans="1:30" x14ac:dyDescent="0.25">
      <c r="A19">
        <v>23</v>
      </c>
      <c r="B19" t="s">
        <v>23</v>
      </c>
      <c r="C19">
        <v>3</v>
      </c>
      <c r="D19">
        <v>-99</v>
      </c>
      <c r="E19">
        <v>0</v>
      </c>
      <c r="F19">
        <v>1</v>
      </c>
      <c r="G19">
        <v>7</v>
      </c>
      <c r="H19">
        <v>10.792400000000001</v>
      </c>
      <c r="I19">
        <v>-99</v>
      </c>
      <c r="J19">
        <v>25</v>
      </c>
      <c r="K19" s="1">
        <v>-2.5327400000000001E-9</v>
      </c>
      <c r="L19">
        <v>9.9092499999999997E-3</v>
      </c>
      <c r="M19">
        <v>0.99999700000000002</v>
      </c>
      <c r="N19">
        <v>-1.53745E-4</v>
      </c>
      <c r="O19">
        <v>-0.77576800000000001</v>
      </c>
      <c r="P19" s="1">
        <v>4.2089E-18</v>
      </c>
      <c r="Q19" s="1">
        <v>9.9558000000000001E-14</v>
      </c>
      <c r="R19" s="1">
        <v>4.3138E-14</v>
      </c>
      <c r="S19" s="1">
        <v>6.5835000000000004E-19</v>
      </c>
      <c r="T19" s="1">
        <v>1.3064999999999999E-5</v>
      </c>
      <c r="U19" s="1">
        <v>2.8182999999999998E-7</v>
      </c>
      <c r="V19" s="1">
        <v>2.4201999999999999E-11</v>
      </c>
      <c r="Y19" s="1">
        <f t="shared" si="0"/>
        <v>1.3346854201999999E-5</v>
      </c>
      <c r="Z19" s="1">
        <f t="shared" si="1"/>
        <v>9.9994631681383991E-2</v>
      </c>
      <c r="AA19" s="1">
        <f t="shared" si="2"/>
        <v>1.4270086725000001E-13</v>
      </c>
      <c r="AB19">
        <f t="shared" si="3"/>
        <v>1.904709920581954E-9</v>
      </c>
      <c r="AC19" s="1">
        <f t="shared" si="4"/>
        <v>0.99994632750498891</v>
      </c>
    </row>
    <row r="20" spans="1:30" x14ac:dyDescent="0.25">
      <c r="A20">
        <v>24</v>
      </c>
      <c r="B20" t="s">
        <v>23</v>
      </c>
      <c r="C20">
        <v>4</v>
      </c>
      <c r="D20">
        <v>-99</v>
      </c>
      <c r="E20">
        <v>0</v>
      </c>
      <c r="F20">
        <v>1</v>
      </c>
      <c r="G20">
        <v>7</v>
      </c>
      <c r="H20">
        <v>1.7579100000000001</v>
      </c>
      <c r="I20">
        <v>-99</v>
      </c>
      <c r="J20">
        <v>25</v>
      </c>
      <c r="K20" s="1">
        <v>-2.54078E-9</v>
      </c>
      <c r="L20">
        <v>9.8283299999999997E-3</v>
      </c>
      <c r="M20">
        <v>0.99999700000000002</v>
      </c>
      <c r="N20">
        <v>-3.16046E-4</v>
      </c>
      <c r="O20">
        <v>-1.6078399999999999</v>
      </c>
      <c r="P20" s="1">
        <v>1.7768000000000001E-16</v>
      </c>
      <c r="Q20" s="1">
        <v>4.2109000000000002E-12</v>
      </c>
      <c r="R20" s="1">
        <v>1.8265999999999999E-12</v>
      </c>
      <c r="S20" s="1">
        <v>2.7887E-17</v>
      </c>
      <c r="T20" s="1">
        <v>1.2818000000000001E-4</v>
      </c>
      <c r="U20" s="1">
        <v>5.2882999999999998E-6</v>
      </c>
      <c r="V20" s="1">
        <v>8.6856000000000005E-10</v>
      </c>
      <c r="Y20" s="1">
        <f t="shared" si="0"/>
        <v>1.3346916855999999E-4</v>
      </c>
      <c r="Z20" s="1">
        <f t="shared" si="1"/>
        <v>0.99995101085151994</v>
      </c>
      <c r="AA20" s="1">
        <f t="shared" si="2"/>
        <v>6.0377055670000007E-12</v>
      </c>
      <c r="AB20">
        <f t="shared" si="3"/>
        <v>8.0588702175654039E-8</v>
      </c>
      <c r="AC20" s="1">
        <f t="shared" si="4"/>
        <v>9.9995105608601005</v>
      </c>
    </row>
    <row r="21" spans="1:30" x14ac:dyDescent="0.25">
      <c r="A21">
        <v>25</v>
      </c>
      <c r="B21" t="s">
        <v>23</v>
      </c>
      <c r="C21">
        <v>5</v>
      </c>
      <c r="D21">
        <v>-99</v>
      </c>
      <c r="E21">
        <v>0</v>
      </c>
      <c r="F21">
        <v>1</v>
      </c>
      <c r="G21">
        <v>7</v>
      </c>
      <c r="H21">
        <v>10.1981</v>
      </c>
      <c r="I21">
        <v>-99</v>
      </c>
      <c r="J21">
        <v>25</v>
      </c>
      <c r="K21" s="1">
        <v>-2.5164000000000001E-9</v>
      </c>
      <c r="L21">
        <v>9.7321400000000002E-3</v>
      </c>
      <c r="M21">
        <v>0.999996</v>
      </c>
      <c r="N21">
        <v>-5.0896000000000003E-4</v>
      </c>
      <c r="O21">
        <v>-2.6148500000000001</v>
      </c>
      <c r="P21" s="1">
        <v>1.8113999999999998E-15</v>
      </c>
      <c r="Q21" s="1">
        <v>4.3025999999999997E-11</v>
      </c>
      <c r="R21" s="1">
        <v>1.8688000000000001E-11</v>
      </c>
      <c r="S21" s="1">
        <v>2.8544999999999998E-16</v>
      </c>
      <c r="T21" s="1">
        <v>2.4658999999999998E-4</v>
      </c>
      <c r="U21" s="1">
        <v>2.0353E-5</v>
      </c>
      <c r="V21" s="1">
        <v>6.6875999999999999E-9</v>
      </c>
      <c r="Y21" s="1">
        <f t="shared" si="0"/>
        <v>2.6694968759999994E-4</v>
      </c>
      <c r="Z21" s="1">
        <f t="shared" si="1"/>
        <v>1.9999870594991997</v>
      </c>
      <c r="AA21" s="1">
        <f t="shared" si="2"/>
        <v>6.1716096849999995E-11</v>
      </c>
      <c r="AB21">
        <f t="shared" si="3"/>
        <v>8.237599686332088E-7</v>
      </c>
      <c r="AC21" s="1">
        <f t="shared" si="4"/>
        <v>19.999875218761975</v>
      </c>
    </row>
    <row r="22" spans="1:30" x14ac:dyDescent="0.25">
      <c r="A22">
        <v>26</v>
      </c>
      <c r="B22" t="s">
        <v>23</v>
      </c>
      <c r="C22">
        <v>6</v>
      </c>
      <c r="D22">
        <v>-99</v>
      </c>
      <c r="E22">
        <v>0</v>
      </c>
      <c r="F22">
        <v>1</v>
      </c>
      <c r="G22">
        <v>7</v>
      </c>
      <c r="H22">
        <v>2.3262999999999998</v>
      </c>
      <c r="I22">
        <v>-99</v>
      </c>
      <c r="J22">
        <v>25</v>
      </c>
      <c r="K22" s="1">
        <v>-2.2028299999999999E-9</v>
      </c>
      <c r="L22">
        <v>9.63258E-3</v>
      </c>
      <c r="M22">
        <v>0.99999400000000005</v>
      </c>
      <c r="N22">
        <v>-7.0864599999999995E-4</v>
      </c>
      <c r="O22">
        <v>-3.6783999999999999</v>
      </c>
      <c r="P22" s="1">
        <v>1.5606E-14</v>
      </c>
      <c r="Q22" s="1">
        <v>3.7156000000000001E-10</v>
      </c>
      <c r="R22" s="1">
        <v>1.6161E-10</v>
      </c>
      <c r="S22" s="1">
        <v>2.4696000000000001E-15</v>
      </c>
      <c r="T22" s="1">
        <v>3.4309E-4</v>
      </c>
      <c r="U22" s="1">
        <v>5.7296000000000002E-5</v>
      </c>
      <c r="V22" s="1">
        <v>3.8093000000000002E-8</v>
      </c>
      <c r="Y22" s="1">
        <f t="shared" si="0"/>
        <v>4.0042409299999998E-4</v>
      </c>
      <c r="Z22" s="1">
        <f t="shared" si="1"/>
        <v>2.9999773047559999</v>
      </c>
      <c r="AA22" s="1">
        <f t="shared" si="2"/>
        <v>5.3318807560000001E-10</v>
      </c>
      <c r="AB22">
        <f t="shared" si="3"/>
        <v>7.1167655579284562E-6</v>
      </c>
      <c r="AC22" s="1">
        <f t="shared" si="4"/>
        <v>29.999812994010625</v>
      </c>
    </row>
    <row r="23" spans="1:30" x14ac:dyDescent="0.25">
      <c r="A23">
        <v>27</v>
      </c>
      <c r="B23" t="s">
        <v>23</v>
      </c>
      <c r="C23">
        <v>7</v>
      </c>
      <c r="D23">
        <v>-99</v>
      </c>
      <c r="E23">
        <v>0</v>
      </c>
      <c r="F23">
        <v>1</v>
      </c>
      <c r="G23">
        <v>7</v>
      </c>
      <c r="H23">
        <v>3.6008599999999999</v>
      </c>
      <c r="I23">
        <v>-99</v>
      </c>
      <c r="J23">
        <v>25</v>
      </c>
      <c r="K23" s="1">
        <v>4.6810300000000003E-8</v>
      </c>
      <c r="L23">
        <v>9.4342799999999997E-3</v>
      </c>
      <c r="M23">
        <v>0.99999199999999999</v>
      </c>
      <c r="N23">
        <v>-1.1067200000000001E-3</v>
      </c>
      <c r="O23">
        <v>-5.8655099999999996</v>
      </c>
      <c r="P23" s="1">
        <v>2.0654000000000001E-12</v>
      </c>
      <c r="Q23" s="1">
        <v>4.9410999999999998E-8</v>
      </c>
      <c r="R23" s="1">
        <v>2.1550000000000001E-8</v>
      </c>
      <c r="S23" s="1">
        <v>3.2964E-13</v>
      </c>
      <c r="T23" s="1">
        <v>3.4681000000000002E-4</v>
      </c>
      <c r="U23" s="1">
        <v>3.1932E-4</v>
      </c>
      <c r="V23" s="1">
        <v>1.1704000000000001E-6</v>
      </c>
      <c r="Y23" s="1">
        <f t="shared" si="0"/>
        <v>6.6730040000000004E-4</v>
      </c>
      <c r="Z23" s="1">
        <f t="shared" si="1"/>
        <v>4.9994145968000003</v>
      </c>
      <c r="AA23" s="1">
        <f t="shared" si="2"/>
        <v>7.0963395040000008E-8</v>
      </c>
      <c r="AB23">
        <f t="shared" si="3"/>
        <v>9.4718893539775758E-4</v>
      </c>
      <c r="AC23" s="1">
        <f t="shared" si="4"/>
        <v>49.999462545556398</v>
      </c>
    </row>
    <row r="24" spans="1:30" x14ac:dyDescent="0.25">
      <c r="A24">
        <v>28</v>
      </c>
      <c r="B24" t="s">
        <v>23</v>
      </c>
      <c r="C24">
        <v>8</v>
      </c>
      <c r="D24">
        <v>-99</v>
      </c>
      <c r="E24">
        <v>0</v>
      </c>
      <c r="F24">
        <v>1</v>
      </c>
      <c r="G24">
        <v>7</v>
      </c>
      <c r="H24">
        <v>4.3118600000000002</v>
      </c>
      <c r="I24">
        <v>-99</v>
      </c>
      <c r="J24">
        <v>25</v>
      </c>
      <c r="K24" s="1">
        <v>2.6889999999999998E-5</v>
      </c>
      <c r="L24">
        <v>9.3136899999999995E-3</v>
      </c>
      <c r="M24">
        <v>0.99999099999999996</v>
      </c>
      <c r="N24">
        <v>-1.5334400000000001E-3</v>
      </c>
      <c r="O24">
        <v>-8.2560800000000008</v>
      </c>
      <c r="P24" s="1">
        <v>1.1208000000000001E-9</v>
      </c>
      <c r="Q24" s="1">
        <v>2.6891000000000001E-5</v>
      </c>
      <c r="R24" s="1">
        <v>1.1748E-5</v>
      </c>
      <c r="S24" s="1">
        <v>1.7981E-10</v>
      </c>
      <c r="T24" s="1">
        <v>7.0714000000000001E-5</v>
      </c>
      <c r="U24" s="1">
        <v>8.5094000000000001E-4</v>
      </c>
      <c r="V24" s="1">
        <v>4.0765E-5</v>
      </c>
      <c r="Y24" s="1">
        <f t="shared" si="0"/>
        <v>9.6241900000000006E-4</v>
      </c>
      <c r="Z24" s="1">
        <f t="shared" si="1"/>
        <v>7.2104431480000004</v>
      </c>
      <c r="AA24" s="1">
        <f t="shared" si="2"/>
        <v>3.8640300610000003E-5</v>
      </c>
      <c r="AB24">
        <f t="shared" si="3"/>
        <v>0.5157541458889483</v>
      </c>
      <c r="AC24" s="1">
        <f t="shared" si="4"/>
        <v>74.999362801701196</v>
      </c>
    </row>
    <row r="25" spans="1:30" x14ac:dyDescent="0.25">
      <c r="A25">
        <v>29</v>
      </c>
      <c r="B25" t="s">
        <v>23</v>
      </c>
      <c r="C25">
        <v>9</v>
      </c>
      <c r="D25">
        <v>-99</v>
      </c>
      <c r="E25">
        <v>0</v>
      </c>
      <c r="F25">
        <v>1</v>
      </c>
      <c r="G25">
        <v>7</v>
      </c>
      <c r="H25">
        <v>5.3597900000000003</v>
      </c>
      <c r="I25">
        <v>-99</v>
      </c>
      <c r="J25">
        <v>25</v>
      </c>
      <c r="K25">
        <v>1.8674699999999999E-4</v>
      </c>
      <c r="L25">
        <v>9.6284500000000002E-3</v>
      </c>
      <c r="M25">
        <v>0.99999099999999996</v>
      </c>
      <c r="N25">
        <v>-2.0023100000000002E-3</v>
      </c>
      <c r="O25">
        <v>-10.6037</v>
      </c>
      <c r="P25" s="1">
        <v>7.8421000000000005E-9</v>
      </c>
      <c r="Q25" s="1">
        <v>1.8673999999999999E-4</v>
      </c>
      <c r="R25" s="1">
        <v>8.1223000000000005E-5</v>
      </c>
      <c r="S25" s="1">
        <v>1.2413E-9</v>
      </c>
      <c r="T25" s="1">
        <v>3.2731999999999998E-5</v>
      </c>
      <c r="U25" s="1">
        <v>9.2906E-4</v>
      </c>
      <c r="V25" s="1">
        <v>1.0498E-4</v>
      </c>
      <c r="Y25" s="1">
        <f t="shared" si="0"/>
        <v>1.0667719999999999E-3</v>
      </c>
      <c r="Z25" s="1">
        <f t="shared" si="1"/>
        <v>7.992255823999999</v>
      </c>
      <c r="AA25" s="1">
        <f t="shared" si="2"/>
        <v>2.6797208340000002E-4</v>
      </c>
      <c r="AB25">
        <f t="shared" si="3"/>
        <v>3.576776340096103</v>
      </c>
      <c r="AC25" s="1">
        <f t="shared" si="4"/>
        <v>99.999026728328005</v>
      </c>
    </row>
    <row r="26" spans="1:30" x14ac:dyDescent="0.25">
      <c r="A26">
        <v>30</v>
      </c>
      <c r="B26" t="s">
        <v>23</v>
      </c>
      <c r="C26">
        <v>10</v>
      </c>
      <c r="D26">
        <v>-99</v>
      </c>
      <c r="E26">
        <v>0</v>
      </c>
      <c r="F26">
        <v>1</v>
      </c>
      <c r="G26">
        <v>7</v>
      </c>
      <c r="H26">
        <v>5.7818199999999997</v>
      </c>
      <c r="I26">
        <v>-99</v>
      </c>
      <c r="J26">
        <v>25</v>
      </c>
      <c r="K26">
        <v>5.9202199999999999E-4</v>
      </c>
      <c r="L26">
        <v>1.0493000000000001E-2</v>
      </c>
      <c r="M26">
        <v>0.99999199999999999</v>
      </c>
      <c r="N26">
        <v>-3.0518199999999998E-3</v>
      </c>
      <c r="O26">
        <v>-15.411899999999999</v>
      </c>
      <c r="P26" s="1">
        <v>2.5364999999999999E-8</v>
      </c>
      <c r="Q26" s="1">
        <v>5.9197999999999998E-4</v>
      </c>
      <c r="R26" s="1">
        <v>2.5451E-4</v>
      </c>
      <c r="S26" s="1">
        <v>3.8736000000000004E-9</v>
      </c>
      <c r="T26" s="1">
        <v>2.0696E-5</v>
      </c>
      <c r="U26" s="1">
        <v>9.5825999999999995E-4</v>
      </c>
      <c r="V26" s="1">
        <v>1.7663999999999999E-4</v>
      </c>
      <c r="Y26" s="1">
        <f t="shared" si="0"/>
        <v>1.1555960000000001E-3</v>
      </c>
      <c r="Z26" s="1">
        <f t="shared" si="1"/>
        <v>8.6577252320000007</v>
      </c>
      <c r="AA26" s="1">
        <f t="shared" si="2"/>
        <v>8.465192386E-4</v>
      </c>
      <c r="AB26">
        <f t="shared" si="3"/>
        <v>11.298975421783235</v>
      </c>
      <c r="AC26" s="1">
        <f t="shared" si="4"/>
        <v>149.99847367591201</v>
      </c>
    </row>
    <row r="27" spans="1:30" x14ac:dyDescent="0.25">
      <c r="A27">
        <v>31</v>
      </c>
      <c r="B27" t="s">
        <v>23</v>
      </c>
      <c r="C27">
        <v>11</v>
      </c>
      <c r="D27">
        <v>-99</v>
      </c>
      <c r="E27">
        <v>0</v>
      </c>
      <c r="F27">
        <v>1</v>
      </c>
      <c r="G27">
        <v>7</v>
      </c>
      <c r="H27">
        <v>5.7477400000000003</v>
      </c>
      <c r="I27">
        <v>-99</v>
      </c>
      <c r="J27">
        <v>25</v>
      </c>
      <c r="K27">
        <v>1.0242199999999999E-3</v>
      </c>
      <c r="L27">
        <v>1.1427700000000001E-2</v>
      </c>
      <c r="M27">
        <v>0.99999199999999999</v>
      </c>
      <c r="N27">
        <v>-4.13716E-3</v>
      </c>
      <c r="O27">
        <v>-19.883900000000001</v>
      </c>
      <c r="P27" s="1">
        <v>4.4794999999999998E-8</v>
      </c>
      <c r="Q27" s="1">
        <v>1.0241E-3</v>
      </c>
      <c r="R27" s="1">
        <v>4.351E-4</v>
      </c>
      <c r="S27" s="1">
        <v>6.5944999999999999E-9</v>
      </c>
      <c r="T27" s="1">
        <v>1.6920999999999999E-5</v>
      </c>
      <c r="U27" s="1">
        <v>9.7130000000000003E-4</v>
      </c>
      <c r="V27" s="1">
        <v>2.2196999999999999E-4</v>
      </c>
      <c r="Y27" s="1">
        <f t="shared" si="0"/>
        <v>1.210191E-3</v>
      </c>
      <c r="Z27" s="1">
        <f t="shared" si="1"/>
        <v>9.0667509719999995</v>
      </c>
      <c r="AA27" s="1">
        <f t="shared" si="2"/>
        <v>1.4592513895000001E-3</v>
      </c>
      <c r="AB27">
        <f t="shared" si="3"/>
        <v>19.477461151895358</v>
      </c>
      <c r="AC27" s="1">
        <f t="shared" si="4"/>
        <v>199.99462382134001</v>
      </c>
    </row>
    <row r="28" spans="1:30" x14ac:dyDescent="0.25">
      <c r="A28">
        <v>32</v>
      </c>
      <c r="B28" t="s">
        <v>23</v>
      </c>
      <c r="C28">
        <v>12</v>
      </c>
      <c r="D28">
        <v>-99</v>
      </c>
      <c r="E28">
        <v>0</v>
      </c>
      <c r="F28">
        <v>1</v>
      </c>
      <c r="G28">
        <v>7</v>
      </c>
      <c r="H28">
        <v>10.690799999999999</v>
      </c>
      <c r="I28">
        <v>-99</v>
      </c>
      <c r="J28">
        <v>25</v>
      </c>
      <c r="K28">
        <v>1.9206500000000001E-3</v>
      </c>
      <c r="L28">
        <v>1.3374799999999999E-2</v>
      </c>
      <c r="M28">
        <v>0.99999199999999999</v>
      </c>
      <c r="N28">
        <v>-6.3467599999999999E-3</v>
      </c>
      <c r="O28">
        <v>-27.7056</v>
      </c>
      <c r="P28" s="1">
        <v>8.7415000000000006E-8</v>
      </c>
      <c r="Q28" s="1">
        <v>1.9204999999999999E-3</v>
      </c>
      <c r="R28" s="1">
        <v>7.9743999999999995E-4</v>
      </c>
      <c r="S28" s="1">
        <v>1.1989000000000001E-8</v>
      </c>
      <c r="T28" s="1">
        <v>1.3849000000000001E-5</v>
      </c>
      <c r="U28" s="1">
        <v>9.9037999999999991E-4</v>
      </c>
      <c r="V28" s="1">
        <v>2.8195999999999999E-4</v>
      </c>
      <c r="Y28" s="1">
        <f t="shared" si="0"/>
        <v>1.2861889999999999E-3</v>
      </c>
      <c r="Z28" s="1">
        <f t="shared" si="1"/>
        <v>9.6361279879999984</v>
      </c>
      <c r="AA28" s="1">
        <f t="shared" si="2"/>
        <v>2.7180394039999999E-3</v>
      </c>
      <c r="AB28">
        <f t="shared" si="3"/>
        <v>36.279223224773091</v>
      </c>
      <c r="AC28" s="1">
        <f t="shared" si="4"/>
        <v>299.99679202767999</v>
      </c>
    </row>
    <row r="29" spans="1:30" x14ac:dyDescent="0.25">
      <c r="A29">
        <v>33</v>
      </c>
      <c r="B29" t="s">
        <v>23</v>
      </c>
      <c r="C29">
        <v>13</v>
      </c>
      <c r="D29">
        <v>-99</v>
      </c>
      <c r="E29">
        <v>0</v>
      </c>
      <c r="F29">
        <v>1</v>
      </c>
      <c r="G29">
        <v>7</v>
      </c>
      <c r="H29">
        <v>5.8589599999999997</v>
      </c>
      <c r="I29">
        <v>-99</v>
      </c>
      <c r="J29">
        <v>25</v>
      </c>
      <c r="K29">
        <v>2.8421499999999999E-3</v>
      </c>
      <c r="L29">
        <v>1.53781E-2</v>
      </c>
      <c r="M29">
        <v>0.99999300000000002</v>
      </c>
      <c r="N29">
        <v>-8.5848599999999997E-3</v>
      </c>
      <c r="O29">
        <v>-34.241700000000002</v>
      </c>
      <c r="P29" s="1">
        <v>1.3428999999999999E-7</v>
      </c>
      <c r="Q29" s="1">
        <v>2.8419000000000001E-3</v>
      </c>
      <c r="R29" s="1">
        <v>1.1551000000000001E-3</v>
      </c>
      <c r="S29" s="1">
        <v>1.7234999999999998E-8</v>
      </c>
      <c r="T29" s="1">
        <v>1.2554999999999999E-5</v>
      </c>
      <c r="U29" s="1">
        <v>1.0074000000000001E-3</v>
      </c>
      <c r="V29" s="1">
        <v>3.2183E-4</v>
      </c>
      <c r="Y29" s="1">
        <f t="shared" ref="Y29:Y31" si="5">T29+U29+V29</f>
        <v>1.3417850000000001E-3</v>
      </c>
      <c r="Z29" s="1">
        <f t="shared" si="1"/>
        <v>10.05265322</v>
      </c>
      <c r="AA29" s="1">
        <f t="shared" ref="AA29:AA31" si="6">P29+Q29+R29+S29</f>
        <v>3.9971515250000001E-3</v>
      </c>
      <c r="AB29">
        <f t="shared" si="3"/>
        <v>53.352262746930059</v>
      </c>
      <c r="AC29" s="1">
        <f t="shared" ref="AC29:AC31" si="7">SUM(P29:V29)*74.92*10^3</f>
        <v>399.99312445300006</v>
      </c>
    </row>
    <row r="30" spans="1:30" x14ac:dyDescent="0.25">
      <c r="A30">
        <v>34</v>
      </c>
      <c r="B30" t="s">
        <v>23</v>
      </c>
      <c r="C30">
        <v>14</v>
      </c>
      <c r="D30">
        <v>-99</v>
      </c>
      <c r="E30">
        <v>0</v>
      </c>
      <c r="F30">
        <v>1</v>
      </c>
      <c r="G30">
        <v>7</v>
      </c>
      <c r="H30">
        <v>6.4033600000000002</v>
      </c>
      <c r="I30">
        <v>-99</v>
      </c>
      <c r="J30">
        <v>25</v>
      </c>
      <c r="K30">
        <v>3.7810999999999999E-3</v>
      </c>
      <c r="L30">
        <v>1.7417800000000001E-2</v>
      </c>
      <c r="M30">
        <v>0.99999300000000002</v>
      </c>
      <c r="N30">
        <v>-1.08421E-2</v>
      </c>
      <c r="O30">
        <v>-39.754100000000001</v>
      </c>
      <c r="P30" s="1">
        <v>1.8503999999999999E-7</v>
      </c>
      <c r="Q30" s="1">
        <v>3.7808E-3</v>
      </c>
      <c r="R30" s="1">
        <v>1.5064E-3</v>
      </c>
      <c r="S30" s="1">
        <v>2.2317000000000001E-8</v>
      </c>
      <c r="T30" s="1">
        <v>1.1902000000000001E-5</v>
      </c>
      <c r="U30" s="1">
        <v>1.0238000000000001E-3</v>
      </c>
      <c r="V30" s="1">
        <v>3.5061000000000001E-4</v>
      </c>
      <c r="Y30" s="1">
        <f t="shared" si="5"/>
        <v>1.3863120000000002E-3</v>
      </c>
      <c r="Z30" s="1">
        <f t="shared" si="1"/>
        <v>10.386249504000002</v>
      </c>
      <c r="AA30" s="1">
        <f t="shared" si="6"/>
        <v>5.2874073569999999E-3</v>
      </c>
      <c r="AB30">
        <f t="shared" si="3"/>
        <v>70.574043739989321</v>
      </c>
      <c r="AC30" s="1">
        <f t="shared" si="7"/>
        <v>499.99505422644</v>
      </c>
    </row>
    <row r="31" spans="1:30" x14ac:dyDescent="0.25">
      <c r="A31">
        <v>35</v>
      </c>
      <c r="B31" t="s">
        <v>23</v>
      </c>
      <c r="C31">
        <v>15</v>
      </c>
      <c r="D31">
        <v>-99</v>
      </c>
      <c r="E31">
        <v>0</v>
      </c>
      <c r="F31">
        <v>1</v>
      </c>
      <c r="G31">
        <v>7</v>
      </c>
      <c r="H31">
        <v>5.84274</v>
      </c>
      <c r="I31">
        <v>-99</v>
      </c>
      <c r="J31">
        <v>25</v>
      </c>
      <c r="K31">
        <v>5.6982700000000001E-3</v>
      </c>
      <c r="L31">
        <v>2.1574599999999999E-2</v>
      </c>
      <c r="M31">
        <v>0.99999400000000005</v>
      </c>
      <c r="N31">
        <v>-1.5398999999999999E-2</v>
      </c>
      <c r="O31">
        <v>-48.497900000000001</v>
      </c>
      <c r="P31" s="1">
        <v>2.9738999999999999E-7</v>
      </c>
      <c r="Q31" s="1">
        <v>5.6977E-3</v>
      </c>
      <c r="R31" s="1">
        <v>2.1898E-3</v>
      </c>
      <c r="S31" s="1">
        <v>3.2023000000000002E-8</v>
      </c>
      <c r="T31" s="1">
        <v>1.1402E-5</v>
      </c>
      <c r="U31" s="1">
        <v>1.0552000000000001E-3</v>
      </c>
      <c r="V31" s="1">
        <v>3.8875999999999998E-4</v>
      </c>
      <c r="Y31" s="1">
        <f t="shared" si="5"/>
        <v>1.455362E-3</v>
      </c>
      <c r="Z31" s="1">
        <f t="shared" si="1"/>
        <v>10.903572104000002</v>
      </c>
      <c r="AA31" s="1">
        <f t="shared" si="6"/>
        <v>7.8878294129999995E-3</v>
      </c>
      <c r="AB31">
        <f t="shared" si="3"/>
        <v>105.28336109183128</v>
      </c>
      <c r="AC31" s="1">
        <f t="shared" si="7"/>
        <v>699.99190066196013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Views>
    <sheetView topLeftCell="O13" workbookViewId="0">
      <selection sqref="A1:V31"/>
    </sheetView>
  </sheetViews>
  <sheetFormatPr defaultRowHeight="15" x14ac:dyDescent="0.25"/>
  <cols>
    <col min="26" max="26" width="13.7109375" customWidth="1"/>
    <col min="28" max="28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24</v>
      </c>
      <c r="Z1" t="s">
        <v>27</v>
      </c>
      <c r="AA1" t="s">
        <v>25</v>
      </c>
      <c r="AB1" t="s">
        <v>26</v>
      </c>
      <c r="AC1" t="s">
        <v>28</v>
      </c>
    </row>
    <row r="2" spans="1:29" x14ac:dyDescent="0.25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7</v>
      </c>
      <c r="H2">
        <v>4</v>
      </c>
      <c r="I2">
        <v>-99</v>
      </c>
      <c r="J2">
        <v>25</v>
      </c>
      <c r="K2" s="1">
        <v>1.1618099999999999E-9</v>
      </c>
      <c r="L2">
        <v>4.9711499999999999E-2</v>
      </c>
      <c r="M2">
        <v>1</v>
      </c>
      <c r="N2" s="1">
        <v>-1.1618099999999999E-9</v>
      </c>
      <c r="O2" s="1">
        <v>-1.16855E-6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Y2" s="1"/>
      <c r="Z2" s="1"/>
    </row>
    <row r="3" spans="1:29" x14ac:dyDescent="0.25">
      <c r="A3">
        <v>6</v>
      </c>
      <c r="B3" t="s">
        <v>22</v>
      </c>
      <c r="C3">
        <v>2</v>
      </c>
      <c r="D3">
        <v>-99</v>
      </c>
      <c r="E3">
        <v>-99</v>
      </c>
      <c r="F3">
        <v>-99</v>
      </c>
      <c r="G3">
        <v>7</v>
      </c>
      <c r="H3">
        <v>4</v>
      </c>
      <c r="I3">
        <v>-99</v>
      </c>
      <c r="J3">
        <v>25</v>
      </c>
      <c r="K3" s="1">
        <v>1.00703E-6</v>
      </c>
      <c r="L3">
        <v>4.97137E-2</v>
      </c>
      <c r="M3">
        <v>1</v>
      </c>
      <c r="N3" s="1">
        <v>-2.3417599999999999E-6</v>
      </c>
      <c r="O3">
        <v>-2.3552899999999999E-3</v>
      </c>
      <c r="P3" s="1">
        <v>7.1195000000000006E-11</v>
      </c>
      <c r="Q3" s="1">
        <v>1.0057E-6</v>
      </c>
      <c r="R3" s="1">
        <v>3.2893000000000002E-7</v>
      </c>
      <c r="S3" s="1">
        <v>4.5289000000000002E-12</v>
      </c>
      <c r="T3" s="1">
        <v>0</v>
      </c>
      <c r="U3" s="1">
        <v>0</v>
      </c>
      <c r="V3" s="1">
        <v>0</v>
      </c>
      <c r="Y3" s="1"/>
      <c r="Z3" s="1"/>
    </row>
    <row r="4" spans="1:29" x14ac:dyDescent="0.25">
      <c r="A4">
        <v>7</v>
      </c>
      <c r="B4" t="s">
        <v>22</v>
      </c>
      <c r="C4">
        <v>3</v>
      </c>
      <c r="D4">
        <v>-99</v>
      </c>
      <c r="E4">
        <v>-99</v>
      </c>
      <c r="F4">
        <v>-99</v>
      </c>
      <c r="G4">
        <v>7</v>
      </c>
      <c r="H4">
        <v>4</v>
      </c>
      <c r="I4">
        <v>-99</v>
      </c>
      <c r="J4">
        <v>25</v>
      </c>
      <c r="K4" s="1">
        <v>1.006E-5</v>
      </c>
      <c r="L4">
        <v>4.9733300000000001E-2</v>
      </c>
      <c r="M4">
        <v>1</v>
      </c>
      <c r="N4" s="1">
        <v>-2.3407299999999999E-5</v>
      </c>
      <c r="O4">
        <v>-2.3537599999999999E-2</v>
      </c>
      <c r="P4" s="1">
        <v>7.1208999999999997E-10</v>
      </c>
      <c r="Q4" s="1">
        <v>1.0057E-5</v>
      </c>
      <c r="R4" s="1">
        <v>3.2891E-6</v>
      </c>
      <c r="S4" s="1">
        <v>4.5285000000000002E-11</v>
      </c>
      <c r="T4" s="1">
        <v>0</v>
      </c>
      <c r="U4" s="1">
        <v>0</v>
      </c>
      <c r="V4" s="1">
        <v>0</v>
      </c>
      <c r="Y4" s="1"/>
      <c r="Z4" s="1"/>
    </row>
    <row r="5" spans="1:29" x14ac:dyDescent="0.25">
      <c r="A5">
        <v>8</v>
      </c>
      <c r="B5" t="s">
        <v>22</v>
      </c>
      <c r="C5">
        <v>4</v>
      </c>
      <c r="D5">
        <v>-99</v>
      </c>
      <c r="E5">
        <v>-99</v>
      </c>
      <c r="F5">
        <v>-99</v>
      </c>
      <c r="G5">
        <v>7</v>
      </c>
      <c r="H5">
        <v>4</v>
      </c>
      <c r="I5">
        <v>-99</v>
      </c>
      <c r="J5">
        <v>25</v>
      </c>
      <c r="K5">
        <v>1.0061E-4</v>
      </c>
      <c r="L5">
        <v>4.9929399999999999E-2</v>
      </c>
      <c r="M5">
        <v>1</v>
      </c>
      <c r="N5">
        <v>-2.34083E-4</v>
      </c>
      <c r="O5">
        <v>-0.23488700000000001</v>
      </c>
      <c r="P5" s="1">
        <v>7.1341E-9</v>
      </c>
      <c r="Q5" s="1">
        <v>1.0060000000000001E-4</v>
      </c>
      <c r="R5" s="1">
        <v>3.2870000000000002E-5</v>
      </c>
      <c r="S5" s="1">
        <v>4.5241999999999997E-10</v>
      </c>
      <c r="T5" s="1">
        <v>0</v>
      </c>
      <c r="U5" s="1">
        <v>0</v>
      </c>
      <c r="V5" s="1">
        <v>0</v>
      </c>
      <c r="Y5" s="1"/>
      <c r="Z5" s="1"/>
    </row>
    <row r="6" spans="1:29" x14ac:dyDescent="0.25">
      <c r="A6">
        <v>9</v>
      </c>
      <c r="B6" t="s">
        <v>22</v>
      </c>
      <c r="C6">
        <v>5</v>
      </c>
      <c r="D6">
        <v>-99</v>
      </c>
      <c r="E6">
        <v>-99</v>
      </c>
      <c r="F6">
        <v>-99</v>
      </c>
      <c r="G6">
        <v>7</v>
      </c>
      <c r="H6">
        <v>4</v>
      </c>
      <c r="I6">
        <v>-99</v>
      </c>
      <c r="J6">
        <v>25</v>
      </c>
      <c r="K6">
        <v>2.0126500000000001E-4</v>
      </c>
      <c r="L6">
        <v>5.0147299999999999E-2</v>
      </c>
      <c r="M6">
        <v>1</v>
      </c>
      <c r="N6">
        <v>-4.6820999999999999E-4</v>
      </c>
      <c r="O6">
        <v>-0.46871600000000002</v>
      </c>
      <c r="P6" s="1">
        <v>1.4298E-8</v>
      </c>
      <c r="Q6" s="1">
        <v>2.0123999999999999E-4</v>
      </c>
      <c r="R6" s="1">
        <v>6.5695E-5</v>
      </c>
      <c r="S6" s="1">
        <v>9.0388999999999997E-10</v>
      </c>
      <c r="T6" s="1">
        <v>0</v>
      </c>
      <c r="U6" s="1">
        <v>0</v>
      </c>
      <c r="V6" s="1">
        <v>0</v>
      </c>
      <c r="Y6" s="1"/>
      <c r="Z6" s="1"/>
    </row>
    <row r="7" spans="1:29" x14ac:dyDescent="0.25">
      <c r="A7">
        <v>10</v>
      </c>
      <c r="B7" t="s">
        <v>22</v>
      </c>
      <c r="C7">
        <v>6</v>
      </c>
      <c r="D7">
        <v>-99</v>
      </c>
      <c r="E7">
        <v>-99</v>
      </c>
      <c r="F7">
        <v>-99</v>
      </c>
      <c r="G7">
        <v>7</v>
      </c>
      <c r="H7">
        <v>4</v>
      </c>
      <c r="I7">
        <v>-99</v>
      </c>
      <c r="J7">
        <v>25</v>
      </c>
      <c r="K7">
        <v>3.01964E-4</v>
      </c>
      <c r="L7">
        <v>5.0365300000000002E-2</v>
      </c>
      <c r="M7">
        <v>1</v>
      </c>
      <c r="N7">
        <v>-7.02383E-4</v>
      </c>
      <c r="O7">
        <v>-0.70149399999999995</v>
      </c>
      <c r="P7" s="1">
        <v>2.1491E-8</v>
      </c>
      <c r="Q7" s="1">
        <v>3.0192000000000001E-4</v>
      </c>
      <c r="R7" s="1">
        <v>9.8474000000000006E-5</v>
      </c>
      <c r="S7" s="1">
        <v>1.3544E-9</v>
      </c>
      <c r="T7" s="1">
        <v>0</v>
      </c>
      <c r="U7" s="1">
        <v>0</v>
      </c>
      <c r="V7" s="1">
        <v>0</v>
      </c>
      <c r="Y7" s="1"/>
      <c r="Z7" s="1"/>
    </row>
    <row r="8" spans="1:29" x14ac:dyDescent="0.25">
      <c r="A8">
        <v>11</v>
      </c>
      <c r="B8" t="s">
        <v>22</v>
      </c>
      <c r="C8">
        <v>7</v>
      </c>
      <c r="D8">
        <v>-99</v>
      </c>
      <c r="E8">
        <v>-99</v>
      </c>
      <c r="F8">
        <v>-99</v>
      </c>
      <c r="G8">
        <v>7</v>
      </c>
      <c r="H8">
        <v>4</v>
      </c>
      <c r="I8">
        <v>-99</v>
      </c>
      <c r="J8">
        <v>25</v>
      </c>
      <c r="K8">
        <v>5.0349800000000001E-4</v>
      </c>
      <c r="L8">
        <v>5.0801499999999999E-2</v>
      </c>
      <c r="M8">
        <v>1</v>
      </c>
      <c r="N8">
        <v>-1.1708599999999999E-3</v>
      </c>
      <c r="O8">
        <v>-1.1639299999999999</v>
      </c>
      <c r="P8" s="1">
        <v>3.5965999999999999E-8</v>
      </c>
      <c r="Q8" s="1">
        <v>5.0343000000000002E-4</v>
      </c>
      <c r="R8" s="1">
        <v>1.639E-4</v>
      </c>
      <c r="S8" s="1">
        <v>2.2526999999999999E-9</v>
      </c>
      <c r="T8" s="1">
        <v>0</v>
      </c>
      <c r="U8" s="1">
        <v>0</v>
      </c>
      <c r="V8" s="1">
        <v>0</v>
      </c>
      <c r="Y8" s="1"/>
      <c r="Z8" s="1"/>
    </row>
    <row r="9" spans="1:29" x14ac:dyDescent="0.25">
      <c r="A9">
        <v>12</v>
      </c>
      <c r="B9" t="s">
        <v>22</v>
      </c>
      <c r="C9">
        <v>8</v>
      </c>
      <c r="D9">
        <v>-99</v>
      </c>
      <c r="E9">
        <v>-99</v>
      </c>
      <c r="F9">
        <v>-99</v>
      </c>
      <c r="G9">
        <v>7</v>
      </c>
      <c r="H9">
        <v>4</v>
      </c>
      <c r="I9">
        <v>-99</v>
      </c>
      <c r="J9">
        <v>25</v>
      </c>
      <c r="K9">
        <v>7.5566399999999997E-4</v>
      </c>
      <c r="L9">
        <v>5.13471E-2</v>
      </c>
      <c r="M9">
        <v>1</v>
      </c>
      <c r="N9">
        <v>-1.7567100000000001E-3</v>
      </c>
      <c r="O9">
        <v>-1.7361800000000001</v>
      </c>
      <c r="P9" s="1">
        <v>5.4224000000000003E-8</v>
      </c>
      <c r="Q9" s="1">
        <v>7.5555999999999996E-4</v>
      </c>
      <c r="R9" s="1">
        <v>2.4542999999999999E-4</v>
      </c>
      <c r="S9" s="1">
        <v>3.3703999999999999E-9</v>
      </c>
      <c r="T9" s="1">
        <v>0</v>
      </c>
      <c r="U9" s="1">
        <v>0</v>
      </c>
      <c r="V9" s="1">
        <v>0</v>
      </c>
      <c r="Y9" s="1"/>
      <c r="Z9" s="1"/>
    </row>
    <row r="10" spans="1:29" x14ac:dyDescent="0.25">
      <c r="A10">
        <v>13</v>
      </c>
      <c r="B10" t="s">
        <v>22</v>
      </c>
      <c r="C10">
        <v>9</v>
      </c>
      <c r="D10">
        <v>-99</v>
      </c>
      <c r="E10">
        <v>-99</v>
      </c>
      <c r="F10">
        <v>-99</v>
      </c>
      <c r="G10">
        <v>7</v>
      </c>
      <c r="H10">
        <v>4</v>
      </c>
      <c r="I10">
        <v>-99</v>
      </c>
      <c r="J10">
        <v>25</v>
      </c>
      <c r="K10">
        <v>1.0081000000000001E-3</v>
      </c>
      <c r="L10">
        <v>5.1893099999999998E-2</v>
      </c>
      <c r="M10">
        <v>1</v>
      </c>
      <c r="N10">
        <v>-2.3428300000000002E-3</v>
      </c>
      <c r="O10">
        <v>-2.3020900000000002</v>
      </c>
      <c r="P10" s="1">
        <v>7.2665999999999997E-8</v>
      </c>
      <c r="Q10" s="1">
        <v>1.008E-3</v>
      </c>
      <c r="R10" s="1">
        <v>3.2668999999999998E-4</v>
      </c>
      <c r="S10" s="1">
        <v>4.4822999999999997E-9</v>
      </c>
      <c r="T10" s="1">
        <v>0</v>
      </c>
      <c r="U10" s="1">
        <v>0</v>
      </c>
      <c r="V10" s="1">
        <v>0</v>
      </c>
      <c r="Y10" s="1"/>
      <c r="Z10" s="1"/>
    </row>
    <row r="11" spans="1:29" x14ac:dyDescent="0.25">
      <c r="A11">
        <v>14</v>
      </c>
      <c r="B11" t="s">
        <v>22</v>
      </c>
      <c r="C11">
        <v>10</v>
      </c>
      <c r="D11">
        <v>-99</v>
      </c>
      <c r="E11">
        <v>-99</v>
      </c>
      <c r="F11">
        <v>-99</v>
      </c>
      <c r="G11">
        <v>7</v>
      </c>
      <c r="H11">
        <v>4</v>
      </c>
      <c r="I11">
        <v>-99</v>
      </c>
      <c r="J11">
        <v>25</v>
      </c>
      <c r="K11">
        <v>1.5137900000000001E-3</v>
      </c>
      <c r="L11">
        <v>5.29863E-2</v>
      </c>
      <c r="M11">
        <v>1</v>
      </c>
      <c r="N11">
        <v>-3.5158799999999999E-3</v>
      </c>
      <c r="O11">
        <v>-3.4153099999999998</v>
      </c>
      <c r="P11" s="1">
        <v>1.101E-7</v>
      </c>
      <c r="Q11" s="1">
        <v>1.5135999999999999E-3</v>
      </c>
      <c r="R11" s="1">
        <v>4.8840000000000005E-4</v>
      </c>
      <c r="S11" s="1">
        <v>6.6895999999999997E-9</v>
      </c>
      <c r="T11" s="1">
        <v>0</v>
      </c>
      <c r="U11" s="1">
        <v>0</v>
      </c>
      <c r="V11" s="1">
        <v>0</v>
      </c>
      <c r="Y11" s="1"/>
      <c r="Z11" s="1"/>
    </row>
    <row r="12" spans="1:29" x14ac:dyDescent="0.25">
      <c r="A12">
        <v>15</v>
      </c>
      <c r="B12" t="s">
        <v>22</v>
      </c>
      <c r="C12">
        <v>11</v>
      </c>
      <c r="D12">
        <v>-99</v>
      </c>
      <c r="E12">
        <v>-99</v>
      </c>
      <c r="F12">
        <v>-99</v>
      </c>
      <c r="G12">
        <v>7</v>
      </c>
      <c r="H12">
        <v>4</v>
      </c>
      <c r="I12">
        <v>-99</v>
      </c>
      <c r="J12">
        <v>25</v>
      </c>
      <c r="K12">
        <v>2.02052E-3</v>
      </c>
      <c r="L12">
        <v>5.4080999999999997E-2</v>
      </c>
      <c r="M12">
        <v>1</v>
      </c>
      <c r="N12">
        <v>-4.6899799999999998E-3</v>
      </c>
      <c r="O12">
        <v>-4.5043699999999998</v>
      </c>
      <c r="P12" s="1">
        <v>1.4826000000000001E-7</v>
      </c>
      <c r="Q12" s="1">
        <v>2.0202000000000002E-3</v>
      </c>
      <c r="R12" s="1">
        <v>6.4906999999999996E-4</v>
      </c>
      <c r="S12" s="1">
        <v>8.8751000000000005E-9</v>
      </c>
      <c r="T12" s="1">
        <v>0</v>
      </c>
      <c r="U12" s="1">
        <v>0</v>
      </c>
      <c r="V12" s="1">
        <v>0</v>
      </c>
      <c r="Y12" s="1"/>
      <c r="Z12" s="1"/>
    </row>
    <row r="13" spans="1:29" x14ac:dyDescent="0.25">
      <c r="A13">
        <v>16</v>
      </c>
      <c r="B13" t="s">
        <v>22</v>
      </c>
      <c r="C13">
        <v>12</v>
      </c>
      <c r="D13">
        <v>-99</v>
      </c>
      <c r="E13">
        <v>-99</v>
      </c>
      <c r="F13">
        <v>-99</v>
      </c>
      <c r="G13">
        <v>7</v>
      </c>
      <c r="H13">
        <v>4</v>
      </c>
      <c r="I13">
        <v>-99</v>
      </c>
      <c r="J13">
        <v>25</v>
      </c>
      <c r="K13">
        <v>3.0370100000000001E-3</v>
      </c>
      <c r="L13">
        <v>5.6274999999999999E-2</v>
      </c>
      <c r="M13">
        <v>1</v>
      </c>
      <c r="N13">
        <v>-7.0412000000000001E-3</v>
      </c>
      <c r="O13">
        <v>-6.6129800000000003</v>
      </c>
      <c r="P13" s="1">
        <v>2.2674999999999999E-7</v>
      </c>
      <c r="Q13" s="1">
        <v>3.0366E-3</v>
      </c>
      <c r="R13" s="1">
        <v>9.6738E-4</v>
      </c>
      <c r="S13" s="1">
        <v>1.3184000000000001E-8</v>
      </c>
      <c r="T13" s="1">
        <v>0</v>
      </c>
      <c r="U13" s="1">
        <v>0</v>
      </c>
      <c r="V13" s="1">
        <v>0</v>
      </c>
      <c r="Y13" s="1"/>
      <c r="Z13" s="1"/>
    </row>
    <row r="14" spans="1:29" x14ac:dyDescent="0.25">
      <c r="A14">
        <v>17</v>
      </c>
      <c r="B14" t="s">
        <v>22</v>
      </c>
      <c r="C14">
        <v>13</v>
      </c>
      <c r="D14">
        <v>-99</v>
      </c>
      <c r="E14">
        <v>-99</v>
      </c>
      <c r="F14">
        <v>-99</v>
      </c>
      <c r="G14">
        <v>7</v>
      </c>
      <c r="H14">
        <v>4</v>
      </c>
      <c r="I14">
        <v>-99</v>
      </c>
      <c r="J14">
        <v>25</v>
      </c>
      <c r="K14">
        <v>4.0573700000000002E-3</v>
      </c>
      <c r="L14">
        <v>5.8474699999999998E-2</v>
      </c>
      <c r="M14">
        <v>1</v>
      </c>
      <c r="N14">
        <v>-9.3962799999999999E-3</v>
      </c>
      <c r="O14">
        <v>-8.6335800000000003</v>
      </c>
      <c r="P14" s="1">
        <v>3.0812999999999999E-7</v>
      </c>
      <c r="Q14" s="1">
        <v>4.0568000000000002E-3</v>
      </c>
      <c r="R14" s="1">
        <v>1.2818E-3</v>
      </c>
      <c r="S14" s="1">
        <v>1.7412000000000001E-8</v>
      </c>
      <c r="T14" s="1">
        <v>0</v>
      </c>
      <c r="U14" s="1">
        <v>0</v>
      </c>
      <c r="V14" s="1">
        <v>0</v>
      </c>
      <c r="Y14" s="1"/>
      <c r="Z14" s="1"/>
    </row>
    <row r="15" spans="1:29" x14ac:dyDescent="0.25">
      <c r="A15">
        <v>18</v>
      </c>
      <c r="B15" t="s">
        <v>22</v>
      </c>
      <c r="C15">
        <v>14</v>
      </c>
      <c r="D15">
        <v>-99</v>
      </c>
      <c r="E15">
        <v>-99</v>
      </c>
      <c r="F15">
        <v>-99</v>
      </c>
      <c r="G15">
        <v>7</v>
      </c>
      <c r="H15">
        <v>4</v>
      </c>
      <c r="I15">
        <v>-99</v>
      </c>
      <c r="J15">
        <v>25</v>
      </c>
      <c r="K15">
        <v>5.0813799999999999E-3</v>
      </c>
      <c r="L15">
        <v>6.0679900000000002E-2</v>
      </c>
      <c r="M15">
        <v>1</v>
      </c>
      <c r="N15">
        <v>-1.1755E-2</v>
      </c>
      <c r="O15">
        <v>-10.571400000000001</v>
      </c>
      <c r="P15" s="1">
        <v>3.9236E-7</v>
      </c>
      <c r="Q15" s="1">
        <v>5.0806000000000002E-3</v>
      </c>
      <c r="R15" s="1">
        <v>1.5926E-3</v>
      </c>
      <c r="S15" s="1">
        <v>2.1565999999999999E-8</v>
      </c>
      <c r="T15" s="1">
        <v>0</v>
      </c>
      <c r="U15" s="1">
        <v>0</v>
      </c>
      <c r="V15" s="1">
        <v>0</v>
      </c>
      <c r="Y15" s="1"/>
      <c r="Z15" s="1"/>
    </row>
    <row r="16" spans="1:29" x14ac:dyDescent="0.25">
      <c r="A16">
        <v>19</v>
      </c>
      <c r="B16" t="s">
        <v>22</v>
      </c>
      <c r="C16">
        <v>15</v>
      </c>
      <c r="D16">
        <v>-99</v>
      </c>
      <c r="E16">
        <v>-99</v>
      </c>
      <c r="F16">
        <v>-99</v>
      </c>
      <c r="G16">
        <v>7</v>
      </c>
      <c r="H16">
        <v>4</v>
      </c>
      <c r="I16">
        <v>-99</v>
      </c>
      <c r="J16">
        <v>25</v>
      </c>
      <c r="K16">
        <v>7.13965E-3</v>
      </c>
      <c r="L16">
        <v>6.5105399999999994E-2</v>
      </c>
      <c r="M16">
        <v>1</v>
      </c>
      <c r="N16">
        <v>-1.6482699999999999E-2</v>
      </c>
      <c r="O16">
        <v>-14.2178</v>
      </c>
      <c r="P16" s="1">
        <v>5.6932999999999998E-7</v>
      </c>
      <c r="Q16" s="1">
        <v>7.1384999999999999E-3</v>
      </c>
      <c r="R16" s="1">
        <v>2.2039999999999998E-3</v>
      </c>
      <c r="S16" s="1">
        <v>2.9662999999999999E-8</v>
      </c>
      <c r="T16" s="1">
        <v>0</v>
      </c>
      <c r="U16" s="1">
        <v>0</v>
      </c>
      <c r="V16" s="1">
        <v>0</v>
      </c>
      <c r="Y16" s="1"/>
      <c r="Z16" s="1"/>
    </row>
    <row r="17" spans="1:30" x14ac:dyDescent="0.25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7</v>
      </c>
      <c r="H17">
        <v>-1.38872</v>
      </c>
      <c r="I17">
        <v>-99</v>
      </c>
      <c r="J17">
        <v>25</v>
      </c>
      <c r="K17" s="1">
        <v>1.1483099999999999E-9</v>
      </c>
      <c r="L17">
        <v>4.9588300000000002E-2</v>
      </c>
      <c r="M17">
        <v>0.999996</v>
      </c>
      <c r="N17">
        <v>-2.4959899999999998E-4</v>
      </c>
      <c r="O17">
        <v>-0.25167299999999998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Y17" s="1">
        <f>T17+U17+V17</f>
        <v>0</v>
      </c>
      <c r="Z17" s="1">
        <f>(Y17*1000*74.92)/10</f>
        <v>0</v>
      </c>
      <c r="AA17" s="1">
        <f>P17+Q17+R17+S17</f>
        <v>0</v>
      </c>
      <c r="AB17">
        <f>AA17*(10^6)/74.92</f>
        <v>0</v>
      </c>
      <c r="AC17" s="1">
        <f>SUM(P17:V17)*74.92*10^3</f>
        <v>0</v>
      </c>
      <c r="AD17" s="1"/>
    </row>
    <row r="18" spans="1:30" x14ac:dyDescent="0.25">
      <c r="A18">
        <v>22</v>
      </c>
      <c r="B18" t="s">
        <v>23</v>
      </c>
      <c r="C18">
        <v>2</v>
      </c>
      <c r="D18">
        <v>-99</v>
      </c>
      <c r="E18">
        <v>0</v>
      </c>
      <c r="F18">
        <v>1</v>
      </c>
      <c r="G18">
        <v>7</v>
      </c>
      <c r="H18">
        <v>10.9236</v>
      </c>
      <c r="I18">
        <v>-99</v>
      </c>
      <c r="J18">
        <v>25</v>
      </c>
      <c r="K18" s="1">
        <v>1.14825E-9</v>
      </c>
      <c r="L18">
        <v>4.95875E-2</v>
      </c>
      <c r="M18">
        <v>0.999996</v>
      </c>
      <c r="N18">
        <v>-2.5108900000000002E-4</v>
      </c>
      <c r="O18">
        <v>-0.25317800000000001</v>
      </c>
      <c r="P18" s="1">
        <v>1.8585999999999999E-18</v>
      </c>
      <c r="Q18" s="1">
        <v>2.6282999999999999E-14</v>
      </c>
      <c r="R18" s="1">
        <v>8.6006999999999995E-15</v>
      </c>
      <c r="S18" s="1">
        <v>1.1845000000000001E-19</v>
      </c>
      <c r="T18" s="1">
        <v>1.2974000000000001E-6</v>
      </c>
      <c r="U18" s="1">
        <v>3.7374000000000001E-8</v>
      </c>
      <c r="V18" s="1">
        <v>4.2862000000000001E-12</v>
      </c>
      <c r="Y18" s="1">
        <f t="shared" ref="Y18:Y31" si="0">T18+U18+V18</f>
        <v>1.3347782862000001E-6</v>
      </c>
      <c r="Z18" s="1">
        <f t="shared" ref="Z18:Z31" si="1">(Y18*1000*74.92)/10</f>
        <v>1.0000158920210401E-2</v>
      </c>
      <c r="AA18" s="1">
        <f t="shared" ref="AA18:AA31" si="2">P18+Q18+R18+S18</f>
        <v>3.4885677050000004E-14</v>
      </c>
      <c r="AB18">
        <f t="shared" ref="AB18:AB31" si="3">AA18*(10^6)/74.92</f>
        <v>4.6563904231179928E-10</v>
      </c>
      <c r="AC18" s="1">
        <f t="shared" ref="AC18:AC31" si="4">SUM(P18:V18)*74.92*10^3</f>
        <v>0.10000159181573894</v>
      </c>
    </row>
    <row r="19" spans="1:30" x14ac:dyDescent="0.25">
      <c r="A19">
        <v>23</v>
      </c>
      <c r="B19" t="s">
        <v>23</v>
      </c>
      <c r="C19">
        <v>3</v>
      </c>
      <c r="D19">
        <v>-99</v>
      </c>
      <c r="E19">
        <v>0</v>
      </c>
      <c r="F19">
        <v>1</v>
      </c>
      <c r="G19">
        <v>7</v>
      </c>
      <c r="H19">
        <v>0.92478000000000005</v>
      </c>
      <c r="I19">
        <v>-99</v>
      </c>
      <c r="J19">
        <v>25</v>
      </c>
      <c r="K19" s="1">
        <v>1.14779E-9</v>
      </c>
      <c r="L19">
        <v>4.9580899999999997E-2</v>
      </c>
      <c r="M19">
        <v>0.99999499999999997</v>
      </c>
      <c r="N19">
        <v>-2.64577E-4</v>
      </c>
      <c r="O19">
        <v>-0.26681500000000002</v>
      </c>
      <c r="P19" s="1">
        <v>2.0931000000000001E-17</v>
      </c>
      <c r="Q19" s="1">
        <v>2.9601000000000002E-13</v>
      </c>
      <c r="R19" s="1">
        <v>9.6867000000000005E-14</v>
      </c>
      <c r="S19" s="1">
        <v>1.334E-18</v>
      </c>
      <c r="T19" s="1">
        <v>1.2954E-5</v>
      </c>
      <c r="U19" s="1">
        <v>3.9348E-7</v>
      </c>
      <c r="V19" s="1">
        <v>4.7582999999999999E-11</v>
      </c>
      <c r="Y19" s="1">
        <f t="shared" si="0"/>
        <v>1.3347527582999999E-5</v>
      </c>
      <c r="Z19" s="1">
        <f t="shared" si="1"/>
        <v>9.9999676651835984E-2</v>
      </c>
      <c r="AA19" s="1">
        <f t="shared" si="2"/>
        <v>3.9289926500000007E-13</v>
      </c>
      <c r="AB19">
        <f t="shared" si="3"/>
        <v>5.2442507341163912E-9</v>
      </c>
      <c r="AC19" s="1">
        <f t="shared" si="4"/>
        <v>0.99999679595437285</v>
      </c>
    </row>
    <row r="20" spans="1:30" x14ac:dyDescent="0.25">
      <c r="A20">
        <v>24</v>
      </c>
      <c r="B20" t="s">
        <v>23</v>
      </c>
      <c r="C20">
        <v>4</v>
      </c>
      <c r="D20">
        <v>-99</v>
      </c>
      <c r="E20">
        <v>0</v>
      </c>
      <c r="F20">
        <v>1</v>
      </c>
      <c r="G20">
        <v>7</v>
      </c>
      <c r="H20">
        <v>10.8697</v>
      </c>
      <c r="I20">
        <v>-99</v>
      </c>
      <c r="J20">
        <v>25</v>
      </c>
      <c r="K20" s="1">
        <v>1.14986E-9</v>
      </c>
      <c r="L20">
        <v>4.9510199999999997E-2</v>
      </c>
      <c r="M20">
        <v>0.99999499999999997</v>
      </c>
      <c r="N20">
        <v>-4.0748299999999999E-4</v>
      </c>
      <c r="O20">
        <v>-0.41151599999999999</v>
      </c>
      <c r="P20" s="1">
        <v>7.1407999999999996E-16</v>
      </c>
      <c r="Q20" s="1">
        <v>1.0105E-11</v>
      </c>
      <c r="R20" s="1">
        <v>3.3076000000000002E-12</v>
      </c>
      <c r="S20" s="1">
        <v>4.5556999999999999E-17</v>
      </c>
      <c r="T20" s="1">
        <v>1.2689E-4</v>
      </c>
      <c r="U20" s="1">
        <v>6.5803000000000003E-6</v>
      </c>
      <c r="V20" s="1">
        <v>1.3585E-9</v>
      </c>
      <c r="Y20" s="1">
        <f t="shared" si="0"/>
        <v>1.3347165849999999E-4</v>
      </c>
      <c r="Z20" s="1">
        <f t="shared" si="1"/>
        <v>0.99996966548200006</v>
      </c>
      <c r="AA20" s="1">
        <f t="shared" si="2"/>
        <v>1.3413359637E-11</v>
      </c>
      <c r="AB20">
        <f t="shared" si="3"/>
        <v>1.7903576664442072E-7</v>
      </c>
      <c r="AC20" s="1">
        <f t="shared" si="4"/>
        <v>9.9996976597489056</v>
      </c>
    </row>
    <row r="21" spans="1:30" x14ac:dyDescent="0.25">
      <c r="A21">
        <v>25</v>
      </c>
      <c r="B21" t="s">
        <v>23</v>
      </c>
      <c r="C21">
        <v>5</v>
      </c>
      <c r="D21">
        <v>-99</v>
      </c>
      <c r="E21">
        <v>0</v>
      </c>
      <c r="F21">
        <v>1</v>
      </c>
      <c r="G21">
        <v>7</v>
      </c>
      <c r="H21">
        <v>1.96478</v>
      </c>
      <c r="I21">
        <v>-99</v>
      </c>
      <c r="J21">
        <v>25</v>
      </c>
      <c r="K21" s="1">
        <v>1.2165999999999999E-9</v>
      </c>
      <c r="L21">
        <v>4.9424900000000001E-2</v>
      </c>
      <c r="M21">
        <v>0.99999400000000005</v>
      </c>
      <c r="N21">
        <v>-5.8003799999999995E-4</v>
      </c>
      <c r="O21">
        <v>-0.58679000000000003</v>
      </c>
      <c r="P21" s="1">
        <v>6.0874000000000003E-15</v>
      </c>
      <c r="Q21" s="1">
        <v>8.6204000000000005E-11</v>
      </c>
      <c r="R21" s="1">
        <v>2.8228000000000001E-11</v>
      </c>
      <c r="S21" s="1">
        <v>3.8884000000000002E-16</v>
      </c>
      <c r="T21" s="1">
        <v>2.4383E-4</v>
      </c>
      <c r="U21" s="1">
        <v>2.3113E-5</v>
      </c>
      <c r="V21" s="1">
        <v>8.7220000000000003E-9</v>
      </c>
      <c r="Y21" s="1">
        <f t="shared" si="0"/>
        <v>2.6695172200000001E-4</v>
      </c>
      <c r="Z21" s="1">
        <f t="shared" si="1"/>
        <v>2.0000023012239998</v>
      </c>
      <c r="AA21" s="1">
        <f t="shared" si="2"/>
        <v>1.1443847624000001E-10</v>
      </c>
      <c r="AB21">
        <f t="shared" si="3"/>
        <v>1.5274756572343834E-6</v>
      </c>
      <c r="AC21" s="1">
        <f t="shared" si="4"/>
        <v>20.000031585970643</v>
      </c>
    </row>
    <row r="22" spans="1:30" x14ac:dyDescent="0.25">
      <c r="A22">
        <v>26</v>
      </c>
      <c r="B22" t="s">
        <v>23</v>
      </c>
      <c r="C22">
        <v>6</v>
      </c>
      <c r="D22">
        <v>-99</v>
      </c>
      <c r="E22">
        <v>0</v>
      </c>
      <c r="F22">
        <v>1</v>
      </c>
      <c r="G22">
        <v>7</v>
      </c>
      <c r="H22">
        <v>2.6178300000000001</v>
      </c>
      <c r="I22">
        <v>-99</v>
      </c>
      <c r="J22">
        <v>25</v>
      </c>
      <c r="K22" s="1">
        <v>1.7678500000000001E-9</v>
      </c>
      <c r="L22">
        <v>4.9335900000000002E-2</v>
      </c>
      <c r="M22">
        <v>0.99999400000000005</v>
      </c>
      <c r="N22">
        <v>-7.6007400000000001E-4</v>
      </c>
      <c r="O22">
        <v>-0.77031099999999997</v>
      </c>
      <c r="P22" s="1">
        <v>4.5663000000000001E-14</v>
      </c>
      <c r="Q22" s="1">
        <v>6.4713000000000002E-10</v>
      </c>
      <c r="R22" s="1">
        <v>2.1199000000000001E-10</v>
      </c>
      <c r="S22" s="1">
        <v>2.9206000000000002E-15</v>
      </c>
      <c r="T22" s="1">
        <v>3.3935999999999998E-4</v>
      </c>
      <c r="U22" s="1">
        <v>6.1014000000000002E-5</v>
      </c>
      <c r="V22" s="1">
        <v>4.3671000000000001E-8</v>
      </c>
      <c r="Y22" s="1">
        <f t="shared" si="0"/>
        <v>4.00417671E-4</v>
      </c>
      <c r="Z22" s="1">
        <f t="shared" si="1"/>
        <v>2.9999291911319999</v>
      </c>
      <c r="AA22" s="1">
        <f t="shared" si="2"/>
        <v>8.5916858360000007E-10</v>
      </c>
      <c r="AB22">
        <f t="shared" si="3"/>
        <v>1.146781344901228E-5</v>
      </c>
      <c r="AC22" s="1">
        <f t="shared" si="4"/>
        <v>29.999356280230284</v>
      </c>
    </row>
    <row r="23" spans="1:30" x14ac:dyDescent="0.25">
      <c r="A23">
        <v>27</v>
      </c>
      <c r="B23" t="s">
        <v>23</v>
      </c>
      <c r="C23">
        <v>7</v>
      </c>
      <c r="D23">
        <v>-99</v>
      </c>
      <c r="E23">
        <v>0</v>
      </c>
      <c r="F23">
        <v>1</v>
      </c>
      <c r="G23">
        <v>7</v>
      </c>
      <c r="H23">
        <v>3.3728199999999999</v>
      </c>
      <c r="I23">
        <v>-99</v>
      </c>
      <c r="J23">
        <v>25</v>
      </c>
      <c r="K23" s="1">
        <v>5.8359900000000002E-8</v>
      </c>
      <c r="L23">
        <v>4.9161099999999999E-2</v>
      </c>
      <c r="M23">
        <v>0.99999199999999999</v>
      </c>
      <c r="N23">
        <v>-1.1138299999999999E-3</v>
      </c>
      <c r="O23">
        <v>-1.1328499999999999</v>
      </c>
      <c r="P23" s="1">
        <v>4.0338E-12</v>
      </c>
      <c r="Q23" s="1">
        <v>5.7251000000000001E-8</v>
      </c>
      <c r="R23" s="1">
        <v>1.8768E-8</v>
      </c>
      <c r="S23" s="1">
        <v>2.5865000000000001E-13</v>
      </c>
      <c r="T23" s="1">
        <v>3.6293000000000002E-4</v>
      </c>
      <c r="U23" s="1">
        <v>3.0334999999999997E-4</v>
      </c>
      <c r="V23" s="1">
        <v>1.0094E-6</v>
      </c>
      <c r="Y23" s="1">
        <f t="shared" si="0"/>
        <v>6.6728939999999997E-4</v>
      </c>
      <c r="Z23" s="1">
        <f t="shared" si="1"/>
        <v>4.9993321847999992</v>
      </c>
      <c r="AA23" s="1">
        <f t="shared" si="2"/>
        <v>7.6023292449999997E-8</v>
      </c>
      <c r="AB23">
        <f t="shared" si="3"/>
        <v>1.0147262740256274E-3</v>
      </c>
      <c r="AC23" s="1">
        <f t="shared" si="4"/>
        <v>49.999017513070356</v>
      </c>
    </row>
    <row r="24" spans="1:30" x14ac:dyDescent="0.25">
      <c r="A24">
        <v>28</v>
      </c>
      <c r="B24" t="s">
        <v>23</v>
      </c>
      <c r="C24">
        <v>8</v>
      </c>
      <c r="D24">
        <v>-99</v>
      </c>
      <c r="E24">
        <v>0</v>
      </c>
      <c r="F24">
        <v>1</v>
      </c>
      <c r="G24">
        <v>7</v>
      </c>
      <c r="H24">
        <v>4.2397</v>
      </c>
      <c r="I24">
        <v>-99</v>
      </c>
      <c r="J24">
        <v>25</v>
      </c>
      <c r="K24" s="1">
        <v>1.3104E-5</v>
      </c>
      <c r="L24">
        <v>4.9029000000000003E-2</v>
      </c>
      <c r="M24">
        <v>0.99999199999999999</v>
      </c>
      <c r="N24">
        <v>-1.46842E-3</v>
      </c>
      <c r="O24">
        <v>-1.4979199999999999</v>
      </c>
      <c r="P24" s="1">
        <v>9.2202999999999997E-10</v>
      </c>
      <c r="Q24" s="1">
        <v>1.3101E-5</v>
      </c>
      <c r="R24" s="1">
        <v>4.2973000000000003E-6</v>
      </c>
      <c r="S24" s="1">
        <v>5.9235000000000003E-11</v>
      </c>
      <c r="T24" s="1">
        <v>1.2197999999999999E-4</v>
      </c>
      <c r="U24" s="1">
        <v>8.3871E-4</v>
      </c>
      <c r="V24" s="1">
        <v>2.2957999999999999E-5</v>
      </c>
      <c r="Y24" s="1">
        <f t="shared" si="0"/>
        <v>9.8364799999999994E-4</v>
      </c>
      <c r="Z24" s="1">
        <f t="shared" si="1"/>
        <v>7.3694908159999999</v>
      </c>
      <c r="AA24" s="1">
        <f t="shared" si="2"/>
        <v>1.7399281265E-5</v>
      </c>
      <c r="AB24">
        <f t="shared" si="3"/>
        <v>0.23223813754671649</v>
      </c>
      <c r="AC24" s="1">
        <f t="shared" si="4"/>
        <v>74.998462312373789</v>
      </c>
    </row>
    <row r="25" spans="1:30" x14ac:dyDescent="0.25">
      <c r="A25">
        <v>29</v>
      </c>
      <c r="B25" t="s">
        <v>23</v>
      </c>
      <c r="C25">
        <v>9</v>
      </c>
      <c r="D25">
        <v>-99</v>
      </c>
      <c r="E25">
        <v>0</v>
      </c>
      <c r="F25">
        <v>1</v>
      </c>
      <c r="G25">
        <v>7</v>
      </c>
      <c r="H25">
        <v>5.1068100000000003</v>
      </c>
      <c r="I25">
        <v>-99</v>
      </c>
      <c r="J25">
        <v>25</v>
      </c>
      <c r="K25">
        <v>1.4037199999999999E-4</v>
      </c>
      <c r="L25">
        <v>4.9260600000000002E-2</v>
      </c>
      <c r="M25">
        <v>0.99999300000000002</v>
      </c>
      <c r="N25">
        <v>-1.85344E-3</v>
      </c>
      <c r="O25">
        <v>-1.8866499999999999</v>
      </c>
      <c r="P25" s="1">
        <v>9.8973000000000006E-9</v>
      </c>
      <c r="Q25" s="1">
        <v>1.4035E-4</v>
      </c>
      <c r="R25" s="1">
        <v>4.5991000000000001E-5</v>
      </c>
      <c r="S25" s="1">
        <v>6.3370999999999998E-10</v>
      </c>
      <c r="T25" s="1">
        <v>5.5588999999999999E-5</v>
      </c>
      <c r="U25" s="1">
        <v>1.0185000000000001E-3</v>
      </c>
      <c r="V25" s="1">
        <v>7.4292E-5</v>
      </c>
      <c r="Y25" s="1">
        <f t="shared" si="0"/>
        <v>1.148381E-3</v>
      </c>
      <c r="Z25" s="1">
        <f t="shared" si="1"/>
        <v>8.6036704519999994</v>
      </c>
      <c r="AA25" s="1">
        <f t="shared" si="2"/>
        <v>1.8635153100999999E-4</v>
      </c>
      <c r="AB25">
        <f t="shared" si="3"/>
        <v>2.4873402430592626</v>
      </c>
      <c r="AC25" s="1">
        <f t="shared" si="4"/>
        <v>99.998161223269221</v>
      </c>
    </row>
    <row r="26" spans="1:30" x14ac:dyDescent="0.25">
      <c r="A26">
        <v>30</v>
      </c>
      <c r="B26" t="s">
        <v>23</v>
      </c>
      <c r="C26">
        <v>10</v>
      </c>
      <c r="D26">
        <v>-99</v>
      </c>
      <c r="E26">
        <v>0</v>
      </c>
      <c r="F26">
        <v>1</v>
      </c>
      <c r="G26">
        <v>7</v>
      </c>
      <c r="H26">
        <v>10.751799999999999</v>
      </c>
      <c r="I26">
        <v>-99</v>
      </c>
      <c r="J26">
        <v>25</v>
      </c>
      <c r="K26">
        <v>5.5018500000000002E-4</v>
      </c>
      <c r="L26">
        <v>5.0119200000000003E-2</v>
      </c>
      <c r="M26">
        <v>0.99999400000000005</v>
      </c>
      <c r="N26">
        <v>-2.8644400000000002E-3</v>
      </c>
      <c r="O26">
        <v>-2.8893599999999999</v>
      </c>
      <c r="P26" s="1">
        <v>3.9075999999999999E-8</v>
      </c>
      <c r="Q26" s="1">
        <v>5.5011000000000003E-4</v>
      </c>
      <c r="R26" s="1">
        <v>1.7961E-4</v>
      </c>
      <c r="S26" s="1">
        <v>2.4712999999999999E-9</v>
      </c>
      <c r="T26" s="1">
        <v>3.5097E-5</v>
      </c>
      <c r="U26" s="1">
        <v>1.1000000000000001E-3</v>
      </c>
      <c r="V26" s="1">
        <v>1.3725E-4</v>
      </c>
      <c r="Y26" s="1">
        <f t="shared" si="0"/>
        <v>1.2723470000000001E-3</v>
      </c>
      <c r="Z26" s="1">
        <f t="shared" si="1"/>
        <v>9.5324237240000009</v>
      </c>
      <c r="AA26" s="1">
        <f t="shared" si="2"/>
        <v>7.2976154730000002E-4</v>
      </c>
      <c r="AB26">
        <f t="shared" si="3"/>
        <v>9.7405438774693014</v>
      </c>
      <c r="AC26" s="1">
        <f t="shared" si="4"/>
        <v>149.99797236371603</v>
      </c>
    </row>
    <row r="27" spans="1:30" x14ac:dyDescent="0.25">
      <c r="A27">
        <v>31</v>
      </c>
      <c r="B27" t="s">
        <v>23</v>
      </c>
      <c r="C27">
        <v>11</v>
      </c>
      <c r="D27">
        <v>-99</v>
      </c>
      <c r="E27">
        <v>0</v>
      </c>
      <c r="F27">
        <v>1</v>
      </c>
      <c r="G27">
        <v>7</v>
      </c>
      <c r="H27">
        <v>5.5697400000000004</v>
      </c>
      <c r="I27">
        <v>-99</v>
      </c>
      <c r="J27">
        <v>25</v>
      </c>
      <c r="K27">
        <v>1.00559E-3</v>
      </c>
      <c r="L27">
        <v>5.1088700000000001E-2</v>
      </c>
      <c r="M27">
        <v>0.99999499999999997</v>
      </c>
      <c r="N27">
        <v>-3.9544899999999997E-3</v>
      </c>
      <c r="O27">
        <v>-3.9479500000000001</v>
      </c>
      <c r="P27" s="1">
        <v>7.2003E-8</v>
      </c>
      <c r="Q27" s="1">
        <v>1.0055000000000001E-3</v>
      </c>
      <c r="R27" s="1">
        <v>3.2695000000000001E-4</v>
      </c>
      <c r="S27" s="1">
        <v>4.4917000000000001E-9</v>
      </c>
      <c r="T27" s="1">
        <v>2.9031E-5</v>
      </c>
      <c r="U27" s="1">
        <v>1.1322000000000001E-3</v>
      </c>
      <c r="V27" s="1">
        <v>1.7578E-4</v>
      </c>
      <c r="Y27" s="1">
        <f t="shared" si="0"/>
        <v>1.3370109999999999E-3</v>
      </c>
      <c r="Z27" s="1">
        <f t="shared" si="1"/>
        <v>10.016886412</v>
      </c>
      <c r="AA27" s="1">
        <f t="shared" si="2"/>
        <v>1.3325264947E-3</v>
      </c>
      <c r="AB27">
        <f t="shared" si="3"/>
        <v>17.785991653764015</v>
      </c>
      <c r="AC27" s="1">
        <f t="shared" si="4"/>
        <v>200.00174910292398</v>
      </c>
    </row>
    <row r="28" spans="1:30" x14ac:dyDescent="0.25">
      <c r="A28">
        <v>32</v>
      </c>
      <c r="B28" t="s">
        <v>23</v>
      </c>
      <c r="C28">
        <v>12</v>
      </c>
      <c r="D28">
        <v>-99</v>
      </c>
      <c r="E28">
        <v>0</v>
      </c>
      <c r="F28">
        <v>1</v>
      </c>
      <c r="G28">
        <v>7</v>
      </c>
      <c r="H28">
        <v>5.9008399999999996</v>
      </c>
      <c r="I28">
        <v>-99</v>
      </c>
      <c r="J28">
        <v>25</v>
      </c>
      <c r="K28">
        <v>1.9573799999999999E-3</v>
      </c>
      <c r="L28">
        <v>5.3125899999999997E-2</v>
      </c>
      <c r="M28">
        <v>0.999996</v>
      </c>
      <c r="N28">
        <v>-6.2031100000000004E-3</v>
      </c>
      <c r="O28">
        <v>-6.06149</v>
      </c>
      <c r="P28" s="1">
        <v>1.4252000000000001E-7</v>
      </c>
      <c r="Q28" s="1">
        <v>1.9570999999999998E-3</v>
      </c>
      <c r="R28" s="1">
        <v>6.3117000000000002E-4</v>
      </c>
      <c r="S28" s="1">
        <v>8.6431999999999993E-9</v>
      </c>
      <c r="T28" s="1">
        <v>2.4048000000000001E-5</v>
      </c>
      <c r="U28" s="1">
        <v>1.1665E-3</v>
      </c>
      <c r="V28" s="1">
        <v>2.2525E-4</v>
      </c>
      <c r="Y28" s="1">
        <f t="shared" si="0"/>
        <v>1.415798E-3</v>
      </c>
      <c r="Z28" s="1">
        <f t="shared" si="1"/>
        <v>10.607158616000001</v>
      </c>
      <c r="AA28" s="1">
        <f t="shared" si="2"/>
        <v>2.5884211631999996E-3</v>
      </c>
      <c r="AB28">
        <f t="shared" si="3"/>
        <v>34.5491345862253</v>
      </c>
      <c r="AC28" s="1">
        <f t="shared" si="4"/>
        <v>299.99609970694394</v>
      </c>
    </row>
    <row r="29" spans="1:30" x14ac:dyDescent="0.25">
      <c r="A29">
        <v>33</v>
      </c>
      <c r="B29" t="s">
        <v>23</v>
      </c>
      <c r="C29">
        <v>13</v>
      </c>
      <c r="D29">
        <v>-99</v>
      </c>
      <c r="E29">
        <v>0</v>
      </c>
      <c r="F29">
        <v>1</v>
      </c>
      <c r="G29">
        <v>7</v>
      </c>
      <c r="H29">
        <v>5.9995900000000004</v>
      </c>
      <c r="I29">
        <v>-99</v>
      </c>
      <c r="J29">
        <v>25</v>
      </c>
      <c r="K29">
        <v>2.9338699999999999E-3</v>
      </c>
      <c r="L29">
        <v>5.5220699999999998E-2</v>
      </c>
      <c r="M29">
        <v>0.999996</v>
      </c>
      <c r="N29">
        <v>-8.4904000000000004E-3</v>
      </c>
      <c r="O29">
        <v>-8.1191200000000006</v>
      </c>
      <c r="P29" s="1">
        <v>2.1724000000000001E-7</v>
      </c>
      <c r="Q29" s="1">
        <v>2.9334000000000001E-3</v>
      </c>
      <c r="R29" s="1">
        <v>9.3829999999999998E-4</v>
      </c>
      <c r="S29" s="1">
        <v>1.2808E-8</v>
      </c>
      <c r="T29" s="1">
        <v>2.1824E-5</v>
      </c>
      <c r="U29" s="1">
        <v>1.1877999999999999E-3</v>
      </c>
      <c r="V29" s="1">
        <v>2.5735999999999999E-4</v>
      </c>
      <c r="Y29" s="1">
        <f t="shared" si="0"/>
        <v>1.4669839999999997E-3</v>
      </c>
      <c r="Z29" s="1">
        <f t="shared" si="1"/>
        <v>10.990644128</v>
      </c>
      <c r="AA29" s="1">
        <f t="shared" si="2"/>
        <v>3.8719300480000002E-3</v>
      </c>
      <c r="AB29">
        <f t="shared" si="3"/>
        <v>51.68086022423919</v>
      </c>
      <c r="AC29" s="1">
        <f t="shared" si="4"/>
        <v>399.99144047616005</v>
      </c>
    </row>
    <row r="30" spans="1:30" x14ac:dyDescent="0.25">
      <c r="A30">
        <v>34</v>
      </c>
      <c r="B30" t="s">
        <v>23</v>
      </c>
      <c r="C30">
        <v>14</v>
      </c>
      <c r="D30">
        <v>-99</v>
      </c>
      <c r="E30">
        <v>0</v>
      </c>
      <c r="F30">
        <v>1</v>
      </c>
      <c r="G30">
        <v>7</v>
      </c>
      <c r="H30">
        <v>5.9663000000000004</v>
      </c>
      <c r="I30">
        <v>-99</v>
      </c>
      <c r="J30">
        <v>25</v>
      </c>
      <c r="K30">
        <v>3.9241800000000002E-3</v>
      </c>
      <c r="L30">
        <v>5.7346399999999999E-2</v>
      </c>
      <c r="M30">
        <v>0.999996</v>
      </c>
      <c r="N30">
        <v>-1.07977E-2</v>
      </c>
      <c r="O30">
        <v>-10.1061</v>
      </c>
      <c r="P30" s="1">
        <v>2.9544E-7</v>
      </c>
      <c r="Q30" s="1">
        <v>3.9236000000000002E-3</v>
      </c>
      <c r="R30" s="1">
        <v>1.2449E-3</v>
      </c>
      <c r="S30" s="1">
        <v>1.6939E-8</v>
      </c>
      <c r="T30" s="1">
        <v>2.0591E-5</v>
      </c>
      <c r="U30" s="1">
        <v>1.204E-3</v>
      </c>
      <c r="V30" s="1">
        <v>2.8026E-4</v>
      </c>
      <c r="Y30" s="1">
        <f t="shared" si="0"/>
        <v>1.504851E-3</v>
      </c>
      <c r="Z30" s="1">
        <f t="shared" si="1"/>
        <v>11.274343691999999</v>
      </c>
      <c r="AA30" s="1">
        <f t="shared" si="2"/>
        <v>5.1688123790000007E-3</v>
      </c>
      <c r="AB30">
        <f t="shared" si="3"/>
        <v>68.991088881473587</v>
      </c>
      <c r="AC30" s="1">
        <f t="shared" si="4"/>
        <v>499.99086035468008</v>
      </c>
    </row>
    <row r="31" spans="1:30" x14ac:dyDescent="0.25">
      <c r="A31">
        <v>35</v>
      </c>
      <c r="B31" t="s">
        <v>23</v>
      </c>
      <c r="C31">
        <v>15</v>
      </c>
      <c r="D31">
        <v>-99</v>
      </c>
      <c r="E31">
        <v>0</v>
      </c>
      <c r="F31">
        <v>1</v>
      </c>
      <c r="G31">
        <v>7</v>
      </c>
      <c r="H31">
        <v>6.9526300000000001</v>
      </c>
      <c r="I31">
        <v>-99</v>
      </c>
      <c r="J31">
        <v>25</v>
      </c>
      <c r="K31">
        <v>5.9316400000000002E-3</v>
      </c>
      <c r="L31">
        <v>6.1654599999999997E-2</v>
      </c>
      <c r="M31">
        <v>0.99999700000000002</v>
      </c>
      <c r="N31">
        <v>-1.54483E-2</v>
      </c>
      <c r="O31">
        <v>-13.861800000000001</v>
      </c>
      <c r="P31" s="1">
        <v>4.6133000000000002E-7</v>
      </c>
      <c r="Q31" s="1">
        <v>5.9306999999999997E-3</v>
      </c>
      <c r="R31" s="1">
        <v>1.8527000000000001E-3</v>
      </c>
      <c r="S31" s="1">
        <v>2.5054000000000001E-8</v>
      </c>
      <c r="T31" s="1">
        <v>1.9378999999999999E-5</v>
      </c>
      <c r="U31" s="1">
        <v>1.2293E-3</v>
      </c>
      <c r="V31" s="1">
        <v>3.1045999999999998E-4</v>
      </c>
      <c r="Y31" s="1">
        <f t="shared" si="0"/>
        <v>1.559139E-3</v>
      </c>
      <c r="Z31" s="1">
        <f t="shared" si="1"/>
        <v>11.681069388000001</v>
      </c>
      <c r="AA31" s="1">
        <f t="shared" si="2"/>
        <v>7.7838863839999987E-3</v>
      </c>
      <c r="AB31">
        <f t="shared" si="3"/>
        <v>103.89597415910302</v>
      </c>
      <c r="AC31" s="1">
        <f t="shared" si="4"/>
        <v>699.97946176927985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Views>
    <sheetView topLeftCell="O8" workbookViewId="0">
      <selection sqref="A1:V31"/>
    </sheetView>
  </sheetViews>
  <sheetFormatPr defaultRowHeight="15" x14ac:dyDescent="0.25"/>
  <cols>
    <col min="26" max="26" width="13.7109375" customWidth="1"/>
    <col min="28" max="28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24</v>
      </c>
      <c r="Z1" t="s">
        <v>27</v>
      </c>
      <c r="AA1" t="s">
        <v>25</v>
      </c>
      <c r="AB1" t="s">
        <v>26</v>
      </c>
      <c r="AC1" t="s">
        <v>28</v>
      </c>
    </row>
    <row r="2" spans="1:29" x14ac:dyDescent="0.25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7</v>
      </c>
      <c r="H2">
        <v>4</v>
      </c>
      <c r="I2">
        <v>-99</v>
      </c>
      <c r="J2">
        <v>25</v>
      </c>
      <c r="K2" s="1">
        <v>4.42335E-9</v>
      </c>
      <c r="L2">
        <v>9.8982600000000004E-2</v>
      </c>
      <c r="M2">
        <v>1</v>
      </c>
      <c r="N2" s="1">
        <v>-4.4236200000000001E-9</v>
      </c>
      <c r="O2" s="1">
        <v>-2.2345500000000001E-6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Y2" s="1"/>
      <c r="Z2" s="1"/>
    </row>
    <row r="3" spans="1:29" x14ac:dyDescent="0.25">
      <c r="A3">
        <v>6</v>
      </c>
      <c r="B3" t="s">
        <v>22</v>
      </c>
      <c r="C3">
        <v>2</v>
      </c>
      <c r="D3">
        <v>-99</v>
      </c>
      <c r="E3">
        <v>-99</v>
      </c>
      <c r="F3">
        <v>-99</v>
      </c>
      <c r="G3">
        <v>7</v>
      </c>
      <c r="H3">
        <v>4</v>
      </c>
      <c r="I3">
        <v>-99</v>
      </c>
      <c r="J3">
        <v>25</v>
      </c>
      <c r="K3" s="1">
        <v>1.0458E-6</v>
      </c>
      <c r="L3">
        <v>9.8984799999999998E-2</v>
      </c>
      <c r="M3">
        <v>1</v>
      </c>
      <c r="N3" s="1">
        <v>-2.3805299999999999E-6</v>
      </c>
      <c r="O3">
        <v>-1.2024799999999999E-3</v>
      </c>
      <c r="P3" s="1">
        <v>1.0234000000000001E-10</v>
      </c>
      <c r="Q3" s="1">
        <v>1.0412000000000001E-6</v>
      </c>
      <c r="R3" s="1">
        <v>2.9345000000000002E-7</v>
      </c>
      <c r="S3" s="1">
        <v>3.8016000000000003E-12</v>
      </c>
      <c r="T3" s="1">
        <v>0</v>
      </c>
      <c r="U3" s="1">
        <v>0</v>
      </c>
      <c r="V3" s="1">
        <v>0</v>
      </c>
      <c r="Y3" s="1"/>
      <c r="Z3" s="1"/>
    </row>
    <row r="4" spans="1:29" x14ac:dyDescent="0.25">
      <c r="A4">
        <v>7</v>
      </c>
      <c r="B4" t="s">
        <v>22</v>
      </c>
      <c r="C4">
        <v>3</v>
      </c>
      <c r="D4">
        <v>-99</v>
      </c>
      <c r="E4">
        <v>-99</v>
      </c>
      <c r="F4">
        <v>-99</v>
      </c>
      <c r="G4">
        <v>7</v>
      </c>
      <c r="H4">
        <v>4</v>
      </c>
      <c r="I4">
        <v>-99</v>
      </c>
      <c r="J4">
        <v>25</v>
      </c>
      <c r="K4" s="1">
        <v>1.04183E-5</v>
      </c>
      <c r="L4">
        <v>9.9004900000000007E-2</v>
      </c>
      <c r="M4">
        <v>1</v>
      </c>
      <c r="N4" s="1">
        <v>-2.3765600000000002E-5</v>
      </c>
      <c r="O4">
        <v>-1.20035E-2</v>
      </c>
      <c r="P4" s="1">
        <v>1.0235E-9</v>
      </c>
      <c r="Q4" s="1">
        <v>1.0412E-5</v>
      </c>
      <c r="R4" s="1">
        <v>2.9343999999999998E-6</v>
      </c>
      <c r="S4" s="1">
        <v>3.8014000000000002E-11</v>
      </c>
      <c r="T4" s="1">
        <v>0</v>
      </c>
      <c r="U4" s="1">
        <v>0</v>
      </c>
      <c r="V4" s="1">
        <v>0</v>
      </c>
      <c r="Y4" s="1"/>
      <c r="Z4" s="1"/>
    </row>
    <row r="5" spans="1:29" x14ac:dyDescent="0.25">
      <c r="A5">
        <v>8</v>
      </c>
      <c r="B5" t="s">
        <v>22</v>
      </c>
      <c r="C5">
        <v>4</v>
      </c>
      <c r="D5">
        <v>-99</v>
      </c>
      <c r="E5">
        <v>-99</v>
      </c>
      <c r="F5">
        <v>-99</v>
      </c>
      <c r="G5">
        <v>7</v>
      </c>
      <c r="H5">
        <v>4</v>
      </c>
      <c r="I5">
        <v>-99</v>
      </c>
      <c r="J5">
        <v>25</v>
      </c>
      <c r="K5">
        <v>1.04153E-4</v>
      </c>
      <c r="L5">
        <v>9.9206000000000003E-2</v>
      </c>
      <c r="M5">
        <v>1</v>
      </c>
      <c r="N5">
        <v>-2.37626E-4</v>
      </c>
      <c r="O5">
        <v>-0.11989</v>
      </c>
      <c r="P5" s="1">
        <v>1.0247000000000001E-8</v>
      </c>
      <c r="Q5" s="1">
        <v>1.0412999999999999E-4</v>
      </c>
      <c r="R5" s="1">
        <v>2.9334000000000001E-5</v>
      </c>
      <c r="S5" s="1">
        <v>3.7993E-10</v>
      </c>
      <c r="T5" s="1">
        <v>0</v>
      </c>
      <c r="U5" s="1">
        <v>0</v>
      </c>
      <c r="V5" s="1">
        <v>0</v>
      </c>
      <c r="Y5" s="1"/>
      <c r="Z5" s="1"/>
    </row>
    <row r="6" spans="1:29" x14ac:dyDescent="0.25">
      <c r="A6">
        <v>9</v>
      </c>
      <c r="B6" t="s">
        <v>22</v>
      </c>
      <c r="C6">
        <v>5</v>
      </c>
      <c r="D6">
        <v>-99</v>
      </c>
      <c r="E6">
        <v>-99</v>
      </c>
      <c r="F6">
        <v>-99</v>
      </c>
      <c r="G6">
        <v>7</v>
      </c>
      <c r="H6">
        <v>4</v>
      </c>
      <c r="I6">
        <v>-99</v>
      </c>
      <c r="J6">
        <v>25</v>
      </c>
      <c r="K6">
        <v>2.0832399999999999E-4</v>
      </c>
      <c r="L6">
        <v>9.9429400000000001E-2</v>
      </c>
      <c r="M6">
        <v>1</v>
      </c>
      <c r="N6">
        <v>-4.7526900000000001E-4</v>
      </c>
      <c r="O6">
        <v>-0.23949999999999999</v>
      </c>
      <c r="P6" s="1">
        <v>2.0522E-8</v>
      </c>
      <c r="Q6" s="1">
        <v>2.0828E-4</v>
      </c>
      <c r="R6" s="1">
        <v>5.8644999999999998E-5</v>
      </c>
      <c r="S6" s="1">
        <v>7.5942000000000005E-10</v>
      </c>
      <c r="T6" s="1">
        <v>0</v>
      </c>
      <c r="U6" s="1">
        <v>0</v>
      </c>
      <c r="V6" s="1">
        <v>0</v>
      </c>
      <c r="Y6" s="1"/>
      <c r="Z6" s="1"/>
    </row>
    <row r="7" spans="1:29" x14ac:dyDescent="0.25">
      <c r="A7">
        <v>10</v>
      </c>
      <c r="B7" t="s">
        <v>22</v>
      </c>
      <c r="C7">
        <v>6</v>
      </c>
      <c r="D7">
        <v>-99</v>
      </c>
      <c r="E7">
        <v>-99</v>
      </c>
      <c r="F7">
        <v>-99</v>
      </c>
      <c r="G7">
        <v>7</v>
      </c>
      <c r="H7">
        <v>4</v>
      </c>
      <c r="I7">
        <v>-99</v>
      </c>
      <c r="J7">
        <v>25</v>
      </c>
      <c r="K7">
        <v>3.12517E-4</v>
      </c>
      <c r="L7">
        <v>9.96528E-2</v>
      </c>
      <c r="M7">
        <v>1</v>
      </c>
      <c r="N7">
        <v>-7.1293500000000004E-4</v>
      </c>
      <c r="O7">
        <v>-0.35883500000000002</v>
      </c>
      <c r="P7" s="1">
        <v>3.0822999999999997E-8</v>
      </c>
      <c r="Q7" s="1">
        <v>3.1244999999999998E-4</v>
      </c>
      <c r="R7" s="1">
        <v>8.7935000000000004E-5</v>
      </c>
      <c r="S7" s="1">
        <v>1.1384999999999999E-9</v>
      </c>
      <c r="T7" s="1">
        <v>0</v>
      </c>
      <c r="U7" s="1">
        <v>0</v>
      </c>
      <c r="V7" s="1">
        <v>0</v>
      </c>
      <c r="Y7" s="1"/>
      <c r="Z7" s="1"/>
    </row>
    <row r="8" spans="1:29" x14ac:dyDescent="0.25">
      <c r="A8">
        <v>11</v>
      </c>
      <c r="B8" t="s">
        <v>22</v>
      </c>
      <c r="C8">
        <v>7</v>
      </c>
      <c r="D8">
        <v>-99</v>
      </c>
      <c r="E8">
        <v>-99</v>
      </c>
      <c r="F8">
        <v>-99</v>
      </c>
      <c r="G8">
        <v>7</v>
      </c>
      <c r="H8">
        <v>4</v>
      </c>
      <c r="I8">
        <v>-99</v>
      </c>
      <c r="J8">
        <v>25</v>
      </c>
      <c r="K8">
        <v>5.2096900000000003E-4</v>
      </c>
      <c r="L8">
        <v>0.10009999999999999</v>
      </c>
      <c r="M8">
        <v>1</v>
      </c>
      <c r="N8">
        <v>-1.18833E-3</v>
      </c>
      <c r="O8">
        <v>-0.59667999999999999</v>
      </c>
      <c r="P8" s="1">
        <v>5.1506999999999999E-8</v>
      </c>
      <c r="Q8" s="1">
        <v>5.2086000000000005E-4</v>
      </c>
      <c r="R8" s="1">
        <v>1.4645000000000001E-4</v>
      </c>
      <c r="S8" s="1">
        <v>1.8951999999999998E-9</v>
      </c>
      <c r="T8" s="1">
        <v>0</v>
      </c>
      <c r="U8" s="1">
        <v>0</v>
      </c>
      <c r="V8" s="1">
        <v>0</v>
      </c>
      <c r="Y8" s="1"/>
      <c r="Z8" s="1"/>
    </row>
    <row r="9" spans="1:29" x14ac:dyDescent="0.25">
      <c r="A9">
        <v>12</v>
      </c>
      <c r="B9" t="s">
        <v>22</v>
      </c>
      <c r="C9">
        <v>8</v>
      </c>
      <c r="D9">
        <v>-99</v>
      </c>
      <c r="E9">
        <v>-99</v>
      </c>
      <c r="F9">
        <v>-99</v>
      </c>
      <c r="G9">
        <v>7</v>
      </c>
      <c r="H9">
        <v>4</v>
      </c>
      <c r="I9">
        <v>-99</v>
      </c>
      <c r="J9">
        <v>25</v>
      </c>
      <c r="K9">
        <v>7.8165699999999995E-4</v>
      </c>
      <c r="L9">
        <v>0.100659</v>
      </c>
      <c r="M9">
        <v>1</v>
      </c>
      <c r="N9">
        <v>-1.7826999999999999E-3</v>
      </c>
      <c r="O9">
        <v>-0.89244999999999997</v>
      </c>
      <c r="P9" s="1">
        <v>7.7513000000000001E-8</v>
      </c>
      <c r="Q9" s="1">
        <v>7.8149999999999997E-4</v>
      </c>
      <c r="R9" s="1">
        <v>2.1947000000000001E-4</v>
      </c>
      <c r="S9" s="1">
        <v>2.8386000000000001E-9</v>
      </c>
      <c r="T9" s="1">
        <v>0</v>
      </c>
      <c r="U9" s="1">
        <v>0</v>
      </c>
      <c r="V9" s="1">
        <v>0</v>
      </c>
      <c r="Y9" s="1"/>
      <c r="Z9" s="1"/>
    </row>
    <row r="10" spans="1:29" x14ac:dyDescent="0.25">
      <c r="A10">
        <v>13</v>
      </c>
      <c r="B10" t="s">
        <v>22</v>
      </c>
      <c r="C10">
        <v>9</v>
      </c>
      <c r="D10">
        <v>-99</v>
      </c>
      <c r="E10">
        <v>-99</v>
      </c>
      <c r="F10">
        <v>-99</v>
      </c>
      <c r="G10">
        <v>7</v>
      </c>
      <c r="H10">
        <v>4</v>
      </c>
      <c r="I10">
        <v>-99</v>
      </c>
      <c r="J10">
        <v>25</v>
      </c>
      <c r="K10">
        <v>1.0424799999999999E-3</v>
      </c>
      <c r="L10">
        <v>0.101218</v>
      </c>
      <c r="M10">
        <v>1</v>
      </c>
      <c r="N10">
        <v>-2.3772099999999998E-3</v>
      </c>
      <c r="O10">
        <v>-1.1865300000000001</v>
      </c>
      <c r="P10" s="1">
        <v>1.0369E-7</v>
      </c>
      <c r="Q10" s="1">
        <v>1.0422999999999999E-3</v>
      </c>
      <c r="R10" s="1">
        <v>2.9234999999999998E-4</v>
      </c>
      <c r="S10" s="1">
        <v>3.7793E-9</v>
      </c>
      <c r="T10" s="1">
        <v>0</v>
      </c>
      <c r="U10" s="1">
        <v>0</v>
      </c>
      <c r="V10" s="1">
        <v>0</v>
      </c>
      <c r="Y10" s="1"/>
      <c r="Z10" s="1"/>
    </row>
    <row r="11" spans="1:29" x14ac:dyDescent="0.25">
      <c r="A11">
        <v>14</v>
      </c>
      <c r="B11" t="s">
        <v>22</v>
      </c>
      <c r="C11">
        <v>10</v>
      </c>
      <c r="D11">
        <v>-99</v>
      </c>
      <c r="E11">
        <v>-99</v>
      </c>
      <c r="F11">
        <v>-99</v>
      </c>
      <c r="G11">
        <v>7</v>
      </c>
      <c r="H11">
        <v>4</v>
      </c>
      <c r="I11">
        <v>-99</v>
      </c>
      <c r="J11">
        <v>25</v>
      </c>
      <c r="K11">
        <v>1.56453E-3</v>
      </c>
      <c r="L11">
        <v>0.102337</v>
      </c>
      <c r="M11">
        <v>1</v>
      </c>
      <c r="N11">
        <v>-3.5666199999999999E-3</v>
      </c>
      <c r="O11">
        <v>-1.7696499999999999</v>
      </c>
      <c r="P11" s="1">
        <v>1.5654E-7</v>
      </c>
      <c r="Q11" s="1">
        <v>1.5642E-3</v>
      </c>
      <c r="R11" s="1">
        <v>4.3771000000000001E-4</v>
      </c>
      <c r="S11" s="1">
        <v>5.6524999999999997E-9</v>
      </c>
      <c r="T11" s="1">
        <v>0</v>
      </c>
      <c r="U11" s="1">
        <v>0</v>
      </c>
      <c r="V11" s="1">
        <v>0</v>
      </c>
      <c r="Y11" s="1"/>
      <c r="Z11" s="1"/>
    </row>
    <row r="12" spans="1:29" x14ac:dyDescent="0.25">
      <c r="A12">
        <v>15</v>
      </c>
      <c r="B12" t="s">
        <v>22</v>
      </c>
      <c r="C12">
        <v>11</v>
      </c>
      <c r="D12">
        <v>-99</v>
      </c>
      <c r="E12">
        <v>-99</v>
      </c>
      <c r="F12">
        <v>-99</v>
      </c>
      <c r="G12">
        <v>7</v>
      </c>
      <c r="H12">
        <v>4</v>
      </c>
      <c r="I12">
        <v>-99</v>
      </c>
      <c r="J12">
        <v>25</v>
      </c>
      <c r="K12">
        <v>2.0871100000000001E-3</v>
      </c>
      <c r="L12">
        <v>0.10345600000000001</v>
      </c>
      <c r="M12">
        <v>1</v>
      </c>
      <c r="N12">
        <v>-4.7565699999999999E-3</v>
      </c>
      <c r="O12">
        <v>-2.3461699999999999</v>
      </c>
      <c r="P12" s="1">
        <v>2.1007E-7</v>
      </c>
      <c r="Q12" s="1">
        <v>2.0866999999999999E-3</v>
      </c>
      <c r="R12" s="1">
        <v>5.8255000000000004E-4</v>
      </c>
      <c r="S12" s="1">
        <v>7.5151000000000002E-9</v>
      </c>
      <c r="T12" s="1">
        <v>0</v>
      </c>
      <c r="U12" s="1">
        <v>0</v>
      </c>
      <c r="V12" s="1">
        <v>0</v>
      </c>
      <c r="Y12" s="1"/>
      <c r="Z12" s="1"/>
    </row>
    <row r="13" spans="1:29" x14ac:dyDescent="0.25">
      <c r="A13">
        <v>16</v>
      </c>
      <c r="B13" t="s">
        <v>22</v>
      </c>
      <c r="C13">
        <v>12</v>
      </c>
      <c r="D13">
        <v>-99</v>
      </c>
      <c r="E13">
        <v>-99</v>
      </c>
      <c r="F13">
        <v>-99</v>
      </c>
      <c r="G13">
        <v>7</v>
      </c>
      <c r="H13">
        <v>4</v>
      </c>
      <c r="I13">
        <v>-99</v>
      </c>
      <c r="J13">
        <v>25</v>
      </c>
      <c r="K13">
        <v>3.1338099999999999E-3</v>
      </c>
      <c r="L13">
        <v>0.105698</v>
      </c>
      <c r="M13">
        <v>1</v>
      </c>
      <c r="N13">
        <v>-7.1379900000000003E-3</v>
      </c>
      <c r="O13">
        <v>-3.4797899999999999</v>
      </c>
      <c r="P13" s="1">
        <v>3.1913999999999998E-7</v>
      </c>
      <c r="Q13" s="1">
        <v>3.1332E-3</v>
      </c>
      <c r="R13" s="1">
        <v>8.7067999999999998E-4</v>
      </c>
      <c r="S13" s="1">
        <v>1.1209E-8</v>
      </c>
      <c r="T13" s="1">
        <v>0</v>
      </c>
      <c r="U13" s="1">
        <v>0</v>
      </c>
      <c r="V13" s="1">
        <v>0</v>
      </c>
      <c r="Y13" s="1"/>
      <c r="Z13" s="1"/>
    </row>
    <row r="14" spans="1:29" x14ac:dyDescent="0.25">
      <c r="A14">
        <v>17</v>
      </c>
      <c r="B14" t="s">
        <v>22</v>
      </c>
      <c r="C14">
        <v>13</v>
      </c>
      <c r="D14">
        <v>-99</v>
      </c>
      <c r="E14">
        <v>-99</v>
      </c>
      <c r="F14">
        <v>-99</v>
      </c>
      <c r="G14">
        <v>7</v>
      </c>
      <c r="H14">
        <v>4</v>
      </c>
      <c r="I14">
        <v>-99</v>
      </c>
      <c r="J14">
        <v>25</v>
      </c>
      <c r="K14">
        <v>4.1824999999999996E-3</v>
      </c>
      <c r="L14">
        <v>0.107942</v>
      </c>
      <c r="M14">
        <v>1</v>
      </c>
      <c r="N14">
        <v>-9.5214099999999992E-3</v>
      </c>
      <c r="O14">
        <v>-4.5882300000000003</v>
      </c>
      <c r="P14" s="1">
        <v>4.3089999999999997E-7</v>
      </c>
      <c r="Q14" s="1">
        <v>4.1815999999999997E-3</v>
      </c>
      <c r="R14" s="1">
        <v>1.1567999999999999E-3</v>
      </c>
      <c r="S14" s="1">
        <v>1.4863E-8</v>
      </c>
      <c r="T14" s="1">
        <v>0</v>
      </c>
      <c r="U14" s="1">
        <v>0</v>
      </c>
      <c r="V14" s="1">
        <v>0</v>
      </c>
      <c r="Y14" s="1"/>
      <c r="Z14" s="1"/>
    </row>
    <row r="15" spans="1:29" x14ac:dyDescent="0.25">
      <c r="A15">
        <v>18</v>
      </c>
      <c r="B15" t="s">
        <v>22</v>
      </c>
      <c r="C15">
        <v>14</v>
      </c>
      <c r="D15">
        <v>-99</v>
      </c>
      <c r="E15">
        <v>-99</v>
      </c>
      <c r="F15">
        <v>-99</v>
      </c>
      <c r="G15">
        <v>7</v>
      </c>
      <c r="H15">
        <v>4</v>
      </c>
      <c r="I15">
        <v>-99</v>
      </c>
      <c r="J15">
        <v>25</v>
      </c>
      <c r="K15">
        <v>5.2331000000000001E-3</v>
      </c>
      <c r="L15">
        <v>0.110189</v>
      </c>
      <c r="M15">
        <v>1</v>
      </c>
      <c r="N15">
        <v>-1.1906699999999999E-2</v>
      </c>
      <c r="O15">
        <v>-5.6722900000000003</v>
      </c>
      <c r="P15" s="1">
        <v>5.4535E-7</v>
      </c>
      <c r="Q15" s="1">
        <v>5.2319999999999997E-3</v>
      </c>
      <c r="R15" s="1">
        <v>1.4411000000000001E-3</v>
      </c>
      <c r="S15" s="1">
        <v>1.8477999999999998E-8</v>
      </c>
      <c r="T15" s="1">
        <v>0</v>
      </c>
      <c r="U15" s="1">
        <v>0</v>
      </c>
      <c r="V15" s="1">
        <v>0</v>
      </c>
      <c r="Y15" s="1"/>
      <c r="Z15" s="1"/>
    </row>
    <row r="16" spans="1:29" x14ac:dyDescent="0.25">
      <c r="A16">
        <v>19</v>
      </c>
      <c r="B16" t="s">
        <v>22</v>
      </c>
      <c r="C16">
        <v>15</v>
      </c>
      <c r="D16">
        <v>-99</v>
      </c>
      <c r="E16">
        <v>-99</v>
      </c>
      <c r="F16">
        <v>-99</v>
      </c>
      <c r="G16">
        <v>7</v>
      </c>
      <c r="H16">
        <v>4</v>
      </c>
      <c r="I16">
        <v>-99</v>
      </c>
      <c r="J16">
        <v>25</v>
      </c>
      <c r="K16">
        <v>7.3397899999999997E-3</v>
      </c>
      <c r="L16">
        <v>0.114691</v>
      </c>
      <c r="M16">
        <v>1</v>
      </c>
      <c r="N16">
        <v>-1.6682900000000001E-2</v>
      </c>
      <c r="O16">
        <v>-7.7702799999999996</v>
      </c>
      <c r="P16" s="1">
        <v>7.8229000000000005E-7</v>
      </c>
      <c r="Q16" s="1">
        <v>7.3381999999999996E-3</v>
      </c>
      <c r="R16" s="1">
        <v>2.0040000000000001E-3</v>
      </c>
      <c r="S16" s="1">
        <v>2.5597999999999999E-8</v>
      </c>
      <c r="T16" s="1">
        <v>0</v>
      </c>
      <c r="U16" s="1">
        <v>0</v>
      </c>
      <c r="V16" s="1">
        <v>0</v>
      </c>
      <c r="Y16" s="1"/>
      <c r="Z16" s="1"/>
    </row>
    <row r="17" spans="1:30" x14ac:dyDescent="0.25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7</v>
      </c>
      <c r="H17">
        <v>-1.4770099999999999</v>
      </c>
      <c r="I17">
        <v>-99</v>
      </c>
      <c r="J17">
        <v>25</v>
      </c>
      <c r="K17" s="1">
        <v>4.4097900000000003E-9</v>
      </c>
      <c r="L17">
        <v>9.88285E-2</v>
      </c>
      <c r="M17">
        <v>0.99999400000000005</v>
      </c>
      <c r="N17">
        <v>-3.1511400000000002E-4</v>
      </c>
      <c r="O17">
        <v>-0.15942600000000001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Y17" s="1">
        <f>T17+U17+V17</f>
        <v>0</v>
      </c>
      <c r="Z17" s="1">
        <f>(Y17*1000*74.92)/10</f>
        <v>0</v>
      </c>
      <c r="AA17" s="1">
        <f>P17+Q17+R17+S17</f>
        <v>0</v>
      </c>
      <c r="AB17">
        <f>AA17*(10^6)/74.92</f>
        <v>0</v>
      </c>
      <c r="AC17" s="1">
        <f>SUM(P17:V17)*74.92*10^3</f>
        <v>0</v>
      </c>
      <c r="AD17" s="1"/>
    </row>
    <row r="18" spans="1:30" x14ac:dyDescent="0.25">
      <c r="A18">
        <v>22</v>
      </c>
      <c r="B18" t="s">
        <v>23</v>
      </c>
      <c r="C18">
        <v>2</v>
      </c>
      <c r="D18">
        <v>-99</v>
      </c>
      <c r="E18">
        <v>0</v>
      </c>
      <c r="F18">
        <v>1</v>
      </c>
      <c r="G18">
        <v>7</v>
      </c>
      <c r="H18">
        <v>0.265011</v>
      </c>
      <c r="I18">
        <v>-99</v>
      </c>
      <c r="J18">
        <v>25</v>
      </c>
      <c r="K18" s="1">
        <v>4.4097599999999999E-9</v>
      </c>
      <c r="L18">
        <v>9.8827799999999993E-2</v>
      </c>
      <c r="M18">
        <v>0.99999400000000005</v>
      </c>
      <c r="N18">
        <v>-3.1650100000000001E-4</v>
      </c>
      <c r="O18">
        <v>-0.16012799999999999</v>
      </c>
      <c r="P18" s="1">
        <v>4.7023E-18</v>
      </c>
      <c r="Q18" s="1">
        <v>4.788E-14</v>
      </c>
      <c r="R18" s="1">
        <v>1.3498999999999999E-14</v>
      </c>
      <c r="S18" s="1">
        <v>1.7491000000000001E-19</v>
      </c>
      <c r="T18" s="1">
        <v>1.2897999999999999E-6</v>
      </c>
      <c r="U18" s="1">
        <v>4.4902000000000001E-8</v>
      </c>
      <c r="V18" s="1">
        <v>6.2231E-12</v>
      </c>
      <c r="Y18" s="1">
        <f t="shared" ref="Y18:Y31" si="0">T18+U18+V18</f>
        <v>1.3347082231000001E-6</v>
      </c>
      <c r="Z18" s="1">
        <f t="shared" ref="Z18:Z31" si="1">(Y18*1000*74.92)/10</f>
        <v>9.9996340074652006E-3</v>
      </c>
      <c r="AA18" s="1">
        <f t="shared" ref="AA18:AA31" si="2">P18+Q18+R18+S18</f>
        <v>6.138387721E-14</v>
      </c>
      <c r="AB18">
        <f t="shared" ref="AB18:AB31" si="3">AA18*(10^6)/74.92</f>
        <v>8.1932564348638546E-10</v>
      </c>
      <c r="AC18" s="1">
        <f t="shared" ref="AC18:AC31" si="4">SUM(P18:V18)*74.92*10^3</f>
        <v>9.9996344673532078E-2</v>
      </c>
    </row>
    <row r="19" spans="1:30" x14ac:dyDescent="0.25">
      <c r="A19">
        <v>23</v>
      </c>
      <c r="B19" t="s">
        <v>23</v>
      </c>
      <c r="C19">
        <v>3</v>
      </c>
      <c r="D19">
        <v>-99</v>
      </c>
      <c r="E19">
        <v>0</v>
      </c>
      <c r="F19">
        <v>1</v>
      </c>
      <c r="G19">
        <v>7</v>
      </c>
      <c r="H19">
        <v>0.89700199999999997</v>
      </c>
      <c r="I19">
        <v>-99</v>
      </c>
      <c r="J19">
        <v>25</v>
      </c>
      <c r="K19" s="1">
        <v>4.4097099999999997E-9</v>
      </c>
      <c r="L19">
        <v>9.8821599999999996E-2</v>
      </c>
      <c r="M19">
        <v>0.99999400000000005</v>
      </c>
      <c r="N19">
        <v>-3.29057E-4</v>
      </c>
      <c r="O19">
        <v>-0.166491</v>
      </c>
      <c r="P19" s="1">
        <v>5.2408E-17</v>
      </c>
      <c r="Q19" s="1">
        <v>5.3364999999999995E-13</v>
      </c>
      <c r="R19" s="1">
        <v>1.5046E-13</v>
      </c>
      <c r="S19" s="1">
        <v>1.9494999999999999E-18</v>
      </c>
      <c r="T19" s="1">
        <v>1.2877000000000001E-5</v>
      </c>
      <c r="U19" s="1">
        <v>4.7005E-7</v>
      </c>
      <c r="V19" s="1">
        <v>6.8305999999999999E-11</v>
      </c>
      <c r="Y19" s="1">
        <f t="shared" si="0"/>
        <v>1.3347118306000001E-5</v>
      </c>
      <c r="Z19" s="1">
        <f t="shared" si="1"/>
        <v>9.9996610348552006E-2</v>
      </c>
      <c r="AA19" s="1">
        <f t="shared" si="2"/>
        <v>6.8416435749999994E-13</v>
      </c>
      <c r="AB19">
        <f t="shared" si="3"/>
        <v>9.1319321609717032E-9</v>
      </c>
      <c r="AC19" s="1">
        <f t="shared" si="4"/>
        <v>0.9999661547431139</v>
      </c>
    </row>
    <row r="20" spans="1:30" x14ac:dyDescent="0.25">
      <c r="A20">
        <v>24</v>
      </c>
      <c r="B20" t="s">
        <v>23</v>
      </c>
      <c r="C20">
        <v>4</v>
      </c>
      <c r="D20">
        <v>-99</v>
      </c>
      <c r="E20">
        <v>0</v>
      </c>
      <c r="F20">
        <v>1</v>
      </c>
      <c r="G20">
        <v>7</v>
      </c>
      <c r="H20">
        <v>1.6100099999999999</v>
      </c>
      <c r="I20">
        <v>-99</v>
      </c>
      <c r="J20">
        <v>25</v>
      </c>
      <c r="K20" s="1">
        <v>4.4199300000000001E-9</v>
      </c>
      <c r="L20">
        <v>9.8756399999999994E-2</v>
      </c>
      <c r="M20">
        <v>0.99999400000000005</v>
      </c>
      <c r="N20">
        <v>-4.6201800000000002E-4</v>
      </c>
      <c r="O20">
        <v>-0.23391999999999999</v>
      </c>
      <c r="P20" s="1">
        <v>1.6177E-15</v>
      </c>
      <c r="Q20" s="1">
        <v>1.6478E-11</v>
      </c>
      <c r="R20" s="1">
        <v>4.6467000000000004E-12</v>
      </c>
      <c r="S20" s="1">
        <v>6.0209999999999996E-17</v>
      </c>
      <c r="T20" s="1">
        <v>1.2601999999999999E-4</v>
      </c>
      <c r="U20" s="1">
        <v>7.4518000000000004E-6</v>
      </c>
      <c r="V20" s="1">
        <v>1.7542E-9</v>
      </c>
      <c r="Y20" s="1">
        <f t="shared" si="0"/>
        <v>1.3347355419999999E-4</v>
      </c>
      <c r="Z20" s="1">
        <f t="shared" si="1"/>
        <v>0.99998386806639983</v>
      </c>
      <c r="AA20" s="1">
        <f t="shared" si="2"/>
        <v>2.1126377909999998E-11</v>
      </c>
      <c r="AB20">
        <f t="shared" si="3"/>
        <v>2.8198582367859048E-7</v>
      </c>
      <c r="AC20" s="1">
        <f t="shared" si="4"/>
        <v>9.9998402634522332</v>
      </c>
    </row>
    <row r="21" spans="1:30" x14ac:dyDescent="0.25">
      <c r="A21">
        <v>25</v>
      </c>
      <c r="B21" t="s">
        <v>23</v>
      </c>
      <c r="C21">
        <v>5</v>
      </c>
      <c r="D21">
        <v>-99</v>
      </c>
      <c r="E21">
        <v>0</v>
      </c>
      <c r="F21">
        <v>1</v>
      </c>
      <c r="G21">
        <v>7</v>
      </c>
      <c r="H21">
        <v>2.08066</v>
      </c>
      <c r="I21">
        <v>-99</v>
      </c>
      <c r="J21">
        <v>25</v>
      </c>
      <c r="K21" s="1">
        <v>4.52459E-9</v>
      </c>
      <c r="L21">
        <v>9.8677799999999996E-2</v>
      </c>
      <c r="M21">
        <v>0.99999400000000005</v>
      </c>
      <c r="N21">
        <v>-6.2236400000000003E-4</v>
      </c>
      <c r="O21">
        <v>-0.31535400000000002</v>
      </c>
      <c r="P21" s="1">
        <v>1.2564E-14</v>
      </c>
      <c r="Q21" s="1">
        <v>1.2803E-10</v>
      </c>
      <c r="R21" s="1">
        <v>3.6109999999999999E-11</v>
      </c>
      <c r="S21" s="1">
        <v>4.6792999999999999E-16</v>
      </c>
      <c r="T21" s="1">
        <v>2.4195999999999999E-4</v>
      </c>
      <c r="U21" s="1">
        <v>2.4973E-5</v>
      </c>
      <c r="V21" s="1">
        <v>1.0261E-8</v>
      </c>
      <c r="Y21" s="1">
        <f t="shared" si="0"/>
        <v>2.66943261E-4</v>
      </c>
      <c r="Z21" s="1">
        <f t="shared" si="1"/>
        <v>1.9999389114119999</v>
      </c>
      <c r="AA21" s="1">
        <f t="shared" si="2"/>
        <v>1.6415303192999998E-10</v>
      </c>
      <c r="AB21">
        <f t="shared" si="3"/>
        <v>2.1910442062199676E-6</v>
      </c>
      <c r="AC21" s="1">
        <f t="shared" si="4"/>
        <v>19.999401412465151</v>
      </c>
    </row>
    <row r="22" spans="1:30" x14ac:dyDescent="0.25">
      <c r="A22">
        <v>26</v>
      </c>
      <c r="B22" t="s">
        <v>23</v>
      </c>
      <c r="C22">
        <v>6</v>
      </c>
      <c r="D22">
        <v>-99</v>
      </c>
      <c r="E22">
        <v>0</v>
      </c>
      <c r="F22">
        <v>1</v>
      </c>
      <c r="G22">
        <v>7</v>
      </c>
      <c r="H22">
        <v>10.833399999999999</v>
      </c>
      <c r="I22">
        <v>-99</v>
      </c>
      <c r="J22">
        <v>25</v>
      </c>
      <c r="K22" s="1">
        <v>5.2726700000000002E-9</v>
      </c>
      <c r="L22">
        <v>9.85959E-2</v>
      </c>
      <c r="M22">
        <v>0.99999300000000002</v>
      </c>
      <c r="N22">
        <v>-7.8932999999999998E-4</v>
      </c>
      <c r="O22">
        <v>-0.40028799999999998</v>
      </c>
      <c r="P22" s="1">
        <v>8.6626000000000006E-14</v>
      </c>
      <c r="Q22" s="1">
        <v>8.8315999999999998E-10</v>
      </c>
      <c r="R22" s="1">
        <v>2.4913E-10</v>
      </c>
      <c r="S22" s="1">
        <v>3.2286E-15</v>
      </c>
      <c r="T22" s="1">
        <v>3.369E-4</v>
      </c>
      <c r="U22" s="1">
        <v>6.3471000000000003E-5</v>
      </c>
      <c r="V22" s="1">
        <v>4.7605000000000002E-8</v>
      </c>
      <c r="Y22" s="1">
        <f t="shared" si="0"/>
        <v>4.0041860500000001E-4</v>
      </c>
      <c r="Z22" s="1">
        <f t="shared" si="1"/>
        <v>2.99993618866</v>
      </c>
      <c r="AA22" s="1">
        <f t="shared" si="2"/>
        <v>1.1323798545999999E-9</v>
      </c>
      <c r="AB22">
        <f t="shared" si="3"/>
        <v>1.5114520216230644E-5</v>
      </c>
      <c r="AC22" s="1">
        <f t="shared" si="4"/>
        <v>29.999446724498707</v>
      </c>
    </row>
    <row r="23" spans="1:30" x14ac:dyDescent="0.25">
      <c r="A23">
        <v>27</v>
      </c>
      <c r="B23" t="s">
        <v>23</v>
      </c>
      <c r="C23">
        <v>7</v>
      </c>
      <c r="D23">
        <v>-99</v>
      </c>
      <c r="E23">
        <v>0</v>
      </c>
      <c r="F23">
        <v>1</v>
      </c>
      <c r="G23">
        <v>7</v>
      </c>
      <c r="H23">
        <v>3.56752</v>
      </c>
      <c r="I23">
        <v>-99</v>
      </c>
      <c r="J23">
        <v>25</v>
      </c>
      <c r="K23" s="1">
        <v>6.5186600000000005E-8</v>
      </c>
      <c r="L23">
        <v>9.8436800000000005E-2</v>
      </c>
      <c r="M23">
        <v>0.99999199999999999</v>
      </c>
      <c r="N23">
        <v>-1.1139399999999999E-3</v>
      </c>
      <c r="O23">
        <v>-0.56581999999999999</v>
      </c>
      <c r="P23" s="1">
        <v>5.9584000000000001E-12</v>
      </c>
      <c r="Q23" s="1">
        <v>6.0800000000000002E-8</v>
      </c>
      <c r="R23" s="1">
        <v>1.7156999999999999E-8</v>
      </c>
      <c r="S23" s="1">
        <v>2.2238000000000001E-13</v>
      </c>
      <c r="T23" s="1">
        <v>3.7241999999999999E-4</v>
      </c>
      <c r="U23" s="1">
        <v>2.9395000000000002E-4</v>
      </c>
      <c r="V23" s="1">
        <v>9.2366999999999996E-7</v>
      </c>
      <c r="Y23" s="1">
        <f t="shared" si="0"/>
        <v>6.6729367000000004E-4</v>
      </c>
      <c r="Z23" s="1">
        <f t="shared" si="1"/>
        <v>4.9993641756400002</v>
      </c>
      <c r="AA23" s="1">
        <f t="shared" si="2"/>
        <v>7.796318077999999E-8</v>
      </c>
      <c r="AB23">
        <f t="shared" si="3"/>
        <v>1.0406190707421248E-3</v>
      </c>
      <c r="AC23" s="1">
        <f t="shared" si="4"/>
        <v>49.99948275790404</v>
      </c>
    </row>
    <row r="24" spans="1:30" x14ac:dyDescent="0.25">
      <c r="A24">
        <v>28</v>
      </c>
      <c r="B24" t="s">
        <v>23</v>
      </c>
      <c r="C24">
        <v>8</v>
      </c>
      <c r="D24">
        <v>-99</v>
      </c>
      <c r="E24">
        <v>0</v>
      </c>
      <c r="F24">
        <v>1</v>
      </c>
      <c r="G24">
        <v>7</v>
      </c>
      <c r="H24">
        <v>4.0519999999999996</v>
      </c>
      <c r="I24">
        <v>-99</v>
      </c>
      <c r="J24">
        <v>25</v>
      </c>
      <c r="K24" s="1">
        <v>8.9033E-6</v>
      </c>
      <c r="L24">
        <v>9.8307699999999998E-2</v>
      </c>
      <c r="M24">
        <v>0.99999199999999999</v>
      </c>
      <c r="N24">
        <v>-1.4357700000000001E-3</v>
      </c>
      <c r="O24">
        <v>-0.73031599999999997</v>
      </c>
      <c r="P24" s="1">
        <v>8.7133000000000003E-10</v>
      </c>
      <c r="Q24" s="1">
        <v>8.8972000000000001E-6</v>
      </c>
      <c r="R24" s="1">
        <v>2.5113999999999998E-6</v>
      </c>
      <c r="S24" s="1">
        <v>3.2554999999999998E-11</v>
      </c>
      <c r="T24" s="1">
        <v>1.5771000000000001E-4</v>
      </c>
      <c r="U24" s="1">
        <v>8.1515999999999999E-4</v>
      </c>
      <c r="V24" s="1">
        <v>1.6773999999999999E-5</v>
      </c>
      <c r="Y24" s="1">
        <f t="shared" si="0"/>
        <v>9.8964400000000003E-4</v>
      </c>
      <c r="Z24" s="1">
        <f t="shared" si="1"/>
        <v>7.4144128480000004</v>
      </c>
      <c r="AA24" s="1">
        <f t="shared" si="2"/>
        <v>1.1409503884999999E-5</v>
      </c>
      <c r="AB24">
        <f t="shared" si="3"/>
        <v>0.15228916023758673</v>
      </c>
      <c r="AC24" s="1">
        <f t="shared" si="4"/>
        <v>74.998928511064193</v>
      </c>
    </row>
    <row r="25" spans="1:30" x14ac:dyDescent="0.25">
      <c r="A25">
        <v>29</v>
      </c>
      <c r="B25" t="s">
        <v>23</v>
      </c>
      <c r="C25">
        <v>9</v>
      </c>
      <c r="D25">
        <v>-99</v>
      </c>
      <c r="E25">
        <v>0</v>
      </c>
      <c r="F25">
        <v>1</v>
      </c>
      <c r="G25">
        <v>7</v>
      </c>
      <c r="H25">
        <v>4.9801500000000001</v>
      </c>
      <c r="I25">
        <v>-99</v>
      </c>
      <c r="J25">
        <v>25</v>
      </c>
      <c r="K25">
        <v>1.13665E-4</v>
      </c>
      <c r="L25">
        <v>9.8484500000000003E-2</v>
      </c>
      <c r="M25">
        <v>0.99999400000000005</v>
      </c>
      <c r="N25">
        <v>-1.7721200000000001E-3</v>
      </c>
      <c r="O25">
        <v>-0.90074200000000004</v>
      </c>
      <c r="P25" s="1">
        <v>1.1140000000000001E-8</v>
      </c>
      <c r="Q25" s="1">
        <v>1.1364E-4</v>
      </c>
      <c r="R25" s="1">
        <v>3.2064000000000003E-5</v>
      </c>
      <c r="S25" s="1">
        <v>4.1557999999999998E-10</v>
      </c>
      <c r="T25" s="1">
        <v>7.4358999999999997E-5</v>
      </c>
      <c r="U25" s="1">
        <v>1.0551E-3</v>
      </c>
      <c r="V25" s="1">
        <v>5.9596999999999999E-5</v>
      </c>
      <c r="Y25" s="1">
        <f t="shared" si="0"/>
        <v>1.189056E-3</v>
      </c>
      <c r="Z25" s="1">
        <f t="shared" si="1"/>
        <v>8.9084075519999999</v>
      </c>
      <c r="AA25" s="1">
        <f t="shared" si="2"/>
        <v>1.4571555557999998E-4</v>
      </c>
      <c r="AB25">
        <f t="shared" si="3"/>
        <v>1.9449486863320871</v>
      </c>
      <c r="AC25" s="1">
        <f t="shared" si="4"/>
        <v>100.0010849440536</v>
      </c>
    </row>
    <row r="26" spans="1:30" x14ac:dyDescent="0.25">
      <c r="A26">
        <v>30</v>
      </c>
      <c r="B26" t="s">
        <v>23</v>
      </c>
      <c r="C26">
        <v>10</v>
      </c>
      <c r="D26">
        <v>-99</v>
      </c>
      <c r="E26">
        <v>0</v>
      </c>
      <c r="F26">
        <v>1</v>
      </c>
      <c r="G26">
        <v>7</v>
      </c>
      <c r="H26">
        <v>10.931699999999999</v>
      </c>
      <c r="I26">
        <v>-99</v>
      </c>
      <c r="J26">
        <v>25</v>
      </c>
      <c r="K26">
        <v>5.1823699999999995E-4</v>
      </c>
      <c r="L26">
        <v>9.9324499999999996E-2</v>
      </c>
      <c r="M26">
        <v>0.999996</v>
      </c>
      <c r="N26">
        <v>-2.7510799999999999E-3</v>
      </c>
      <c r="O26">
        <v>-1.3921699999999999</v>
      </c>
      <c r="P26" s="1">
        <v>5.1023E-8</v>
      </c>
      <c r="Q26" s="1">
        <v>5.1813E-4</v>
      </c>
      <c r="R26" s="1">
        <v>1.4592000000000001E-4</v>
      </c>
      <c r="S26" s="1">
        <v>1.8897999999999998E-9</v>
      </c>
      <c r="T26" s="1">
        <v>4.7071999999999999E-5</v>
      </c>
      <c r="U26" s="1">
        <v>1.1743000000000001E-3</v>
      </c>
      <c r="V26" s="1">
        <v>1.1663E-4</v>
      </c>
      <c r="Y26" s="1">
        <f t="shared" si="0"/>
        <v>1.338002E-3</v>
      </c>
      <c r="Z26" s="1">
        <f t="shared" si="1"/>
        <v>10.024310984000001</v>
      </c>
      <c r="AA26" s="1">
        <f t="shared" si="2"/>
        <v>6.6410291279999994E-4</v>
      </c>
      <c r="AB26">
        <f t="shared" si="3"/>
        <v>8.8641606086492235</v>
      </c>
      <c r="AC26" s="1">
        <f t="shared" si="4"/>
        <v>149.99770006697599</v>
      </c>
    </row>
    <row r="27" spans="1:30" x14ac:dyDescent="0.25">
      <c r="A27">
        <v>31</v>
      </c>
      <c r="B27" t="s">
        <v>23</v>
      </c>
      <c r="C27">
        <v>11</v>
      </c>
      <c r="D27">
        <v>-99</v>
      </c>
      <c r="E27">
        <v>0</v>
      </c>
      <c r="F27">
        <v>1</v>
      </c>
      <c r="G27">
        <v>7</v>
      </c>
      <c r="H27">
        <v>5.8635400000000004</v>
      </c>
      <c r="I27">
        <v>-99</v>
      </c>
      <c r="J27">
        <v>25</v>
      </c>
      <c r="K27">
        <v>9.839409999999999E-4</v>
      </c>
      <c r="L27">
        <v>0.100309</v>
      </c>
      <c r="M27">
        <v>0.99999700000000002</v>
      </c>
      <c r="N27">
        <v>-3.8408000000000001E-3</v>
      </c>
      <c r="O27">
        <v>-1.9334499999999999</v>
      </c>
      <c r="P27" s="1">
        <v>9.7390000000000001E-8</v>
      </c>
      <c r="Q27" s="1">
        <v>9.8374000000000009E-4</v>
      </c>
      <c r="R27" s="1">
        <v>2.7647000000000001E-4</v>
      </c>
      <c r="S27" s="1">
        <v>3.5771E-9</v>
      </c>
      <c r="T27" s="1">
        <v>3.9394000000000003E-5</v>
      </c>
      <c r="U27" s="1">
        <v>1.2195000000000001E-3</v>
      </c>
      <c r="V27" s="1">
        <v>1.5028E-4</v>
      </c>
      <c r="Y27" s="1">
        <f t="shared" si="0"/>
        <v>1.4091740000000002E-3</v>
      </c>
      <c r="Z27" s="1">
        <f t="shared" si="1"/>
        <v>10.557531608000001</v>
      </c>
      <c r="AA27" s="1">
        <f t="shared" si="2"/>
        <v>1.2603109671000003E-3</v>
      </c>
      <c r="AB27">
        <f t="shared" si="3"/>
        <v>16.82208979044314</v>
      </c>
      <c r="AC27" s="1">
        <f t="shared" si="4"/>
        <v>199.99781373513204</v>
      </c>
    </row>
    <row r="28" spans="1:30" x14ac:dyDescent="0.25">
      <c r="A28">
        <v>32</v>
      </c>
      <c r="B28" t="s">
        <v>23</v>
      </c>
      <c r="C28">
        <v>12</v>
      </c>
      <c r="D28">
        <v>-99</v>
      </c>
      <c r="E28">
        <v>0</v>
      </c>
      <c r="F28">
        <v>1</v>
      </c>
      <c r="G28">
        <v>7</v>
      </c>
      <c r="H28">
        <v>5.8155099999999997</v>
      </c>
      <c r="I28">
        <v>-99</v>
      </c>
      <c r="J28">
        <v>25</v>
      </c>
      <c r="K28">
        <v>1.96496E-3</v>
      </c>
      <c r="L28">
        <v>0.102395</v>
      </c>
      <c r="M28">
        <v>0.99999700000000002</v>
      </c>
      <c r="N28">
        <v>-6.10927E-3</v>
      </c>
      <c r="O28">
        <v>-3.04156</v>
      </c>
      <c r="P28" s="1">
        <v>1.9667E-7</v>
      </c>
      <c r="Q28" s="1">
        <v>1.9645999999999999E-3</v>
      </c>
      <c r="R28" s="1">
        <v>5.4967000000000004E-4</v>
      </c>
      <c r="S28" s="1">
        <v>7.0980000000000001E-9</v>
      </c>
      <c r="T28" s="1">
        <v>3.3209E-5</v>
      </c>
      <c r="U28" s="1">
        <v>1.2648E-3</v>
      </c>
      <c r="V28" s="1">
        <v>1.9176999999999999E-4</v>
      </c>
      <c r="Y28" s="1">
        <f t="shared" si="0"/>
        <v>1.4897789999999999E-3</v>
      </c>
      <c r="Z28" s="1">
        <f t="shared" si="1"/>
        <v>11.161424268000001</v>
      </c>
      <c r="AA28" s="1">
        <f t="shared" si="2"/>
        <v>2.5144737679999997E-3</v>
      </c>
      <c r="AB28">
        <f t="shared" si="3"/>
        <v>33.562116497597437</v>
      </c>
      <c r="AC28" s="1">
        <f t="shared" si="4"/>
        <v>299.99861737856003</v>
      </c>
    </row>
    <row r="29" spans="1:30" x14ac:dyDescent="0.25">
      <c r="A29">
        <v>33</v>
      </c>
      <c r="B29" t="s">
        <v>23</v>
      </c>
      <c r="C29">
        <v>13</v>
      </c>
      <c r="D29">
        <v>-99</v>
      </c>
      <c r="E29">
        <v>0</v>
      </c>
      <c r="F29">
        <v>1</v>
      </c>
      <c r="G29">
        <v>7</v>
      </c>
      <c r="H29">
        <v>6.1581700000000001</v>
      </c>
      <c r="I29">
        <v>-99</v>
      </c>
      <c r="J29">
        <v>25</v>
      </c>
      <c r="K29">
        <v>2.9727600000000001E-3</v>
      </c>
      <c r="L29">
        <v>0.104543</v>
      </c>
      <c r="M29">
        <v>0.99999800000000005</v>
      </c>
      <c r="N29">
        <v>-8.4239599999999994E-3</v>
      </c>
      <c r="O29">
        <v>-4.1468699999999998</v>
      </c>
      <c r="P29" s="1">
        <v>3.0092000000000002E-7</v>
      </c>
      <c r="Q29" s="1">
        <v>2.9721999999999999E-3</v>
      </c>
      <c r="R29" s="1">
        <v>8.2788000000000002E-4</v>
      </c>
      <c r="S29" s="1">
        <v>1.0668999999999999E-8</v>
      </c>
      <c r="T29" s="1">
        <v>3.046E-5</v>
      </c>
      <c r="U29" s="1">
        <v>1.2905E-3</v>
      </c>
      <c r="V29" s="1">
        <v>2.1765E-4</v>
      </c>
      <c r="Y29" s="1">
        <f t="shared" si="0"/>
        <v>1.5386099999999999E-3</v>
      </c>
      <c r="Z29" s="1">
        <f t="shared" si="1"/>
        <v>11.52726612</v>
      </c>
      <c r="AA29" s="1">
        <f t="shared" si="2"/>
        <v>3.800391589E-3</v>
      </c>
      <c r="AB29">
        <f t="shared" si="3"/>
        <v>50.725995581954081</v>
      </c>
      <c r="AC29" s="1">
        <f t="shared" si="4"/>
        <v>399.99799904787994</v>
      </c>
    </row>
    <row r="30" spans="1:30" x14ac:dyDescent="0.25">
      <c r="A30">
        <v>34</v>
      </c>
      <c r="B30" t="s">
        <v>23</v>
      </c>
      <c r="C30">
        <v>14</v>
      </c>
      <c r="D30">
        <v>-99</v>
      </c>
      <c r="E30">
        <v>0</v>
      </c>
      <c r="F30">
        <v>1</v>
      </c>
      <c r="G30">
        <v>7</v>
      </c>
      <c r="H30">
        <v>5.6978600000000004</v>
      </c>
      <c r="I30">
        <v>-99</v>
      </c>
      <c r="J30">
        <v>25</v>
      </c>
      <c r="K30">
        <v>3.9938200000000004E-3</v>
      </c>
      <c r="L30">
        <v>0.106722</v>
      </c>
      <c r="M30">
        <v>0.99999800000000005</v>
      </c>
      <c r="N30">
        <v>-1.07603E-2</v>
      </c>
      <c r="O30">
        <v>-5.2373200000000004</v>
      </c>
      <c r="P30" s="1">
        <v>4.0889E-7</v>
      </c>
      <c r="Q30" s="1">
        <v>3.993E-3</v>
      </c>
      <c r="R30" s="1">
        <v>1.1073000000000001E-3</v>
      </c>
      <c r="S30" s="1">
        <v>1.4243000000000001E-8</v>
      </c>
      <c r="T30" s="1">
        <v>2.8923000000000001E-5</v>
      </c>
      <c r="U30" s="1">
        <v>1.3083000000000001E-3</v>
      </c>
      <c r="V30" s="1">
        <v>2.3562E-4</v>
      </c>
      <c r="Y30" s="1">
        <f t="shared" si="0"/>
        <v>1.572843E-3</v>
      </c>
      <c r="Z30" s="1">
        <f t="shared" si="1"/>
        <v>11.783739755999999</v>
      </c>
      <c r="AA30" s="1">
        <f t="shared" si="2"/>
        <v>5.1007231330000005E-3</v>
      </c>
      <c r="AB30">
        <f t="shared" si="3"/>
        <v>68.082262853710631</v>
      </c>
      <c r="AC30" s="1">
        <f t="shared" si="4"/>
        <v>499.98357468436006</v>
      </c>
    </row>
    <row r="31" spans="1:30" x14ac:dyDescent="0.25">
      <c r="A31">
        <v>35</v>
      </c>
      <c r="B31" t="s">
        <v>23</v>
      </c>
      <c r="C31">
        <v>15</v>
      </c>
      <c r="D31">
        <v>-99</v>
      </c>
      <c r="E31">
        <v>0</v>
      </c>
      <c r="F31">
        <v>1</v>
      </c>
      <c r="G31">
        <v>7</v>
      </c>
      <c r="H31">
        <v>5.8380299999999998</v>
      </c>
      <c r="I31">
        <v>-99</v>
      </c>
      <c r="J31">
        <v>25</v>
      </c>
      <c r="K31">
        <v>6.0587799999999997E-3</v>
      </c>
      <c r="L31">
        <v>0.111128</v>
      </c>
      <c r="M31">
        <v>0.99999899999999997</v>
      </c>
      <c r="N31">
        <v>-1.5468000000000001E-2</v>
      </c>
      <c r="O31">
        <v>-7.3608900000000004</v>
      </c>
      <c r="P31" s="1">
        <v>6.3438999999999995E-7</v>
      </c>
      <c r="Q31" s="1">
        <v>6.0575000000000004E-3</v>
      </c>
      <c r="R31" s="1">
        <v>1.6654E-3</v>
      </c>
      <c r="S31" s="1">
        <v>2.1337000000000001E-8</v>
      </c>
      <c r="T31" s="1">
        <v>2.7365999999999999E-5</v>
      </c>
      <c r="U31" s="1">
        <v>1.3335E-3</v>
      </c>
      <c r="V31" s="1">
        <v>2.5868000000000001E-4</v>
      </c>
      <c r="Y31" s="1">
        <f t="shared" si="0"/>
        <v>1.6195460000000001E-3</v>
      </c>
      <c r="Z31" s="1">
        <f t="shared" si="1"/>
        <v>12.133638632000002</v>
      </c>
      <c r="AA31" s="1">
        <f t="shared" si="2"/>
        <v>7.723555727000001E-3</v>
      </c>
      <c r="AB31">
        <f t="shared" si="3"/>
        <v>103.09070644687668</v>
      </c>
      <c r="AC31" s="1">
        <f t="shared" si="4"/>
        <v>699.98518138684005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Views>
    <sheetView topLeftCell="N8" workbookViewId="0">
      <selection sqref="A1:V31"/>
    </sheetView>
  </sheetViews>
  <sheetFormatPr defaultRowHeight="15" x14ac:dyDescent="0.25"/>
  <cols>
    <col min="26" max="26" width="13.7109375" customWidth="1"/>
    <col min="28" max="28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24</v>
      </c>
      <c r="Z1" t="s">
        <v>27</v>
      </c>
      <c r="AA1" t="s">
        <v>25</v>
      </c>
      <c r="AB1" t="s">
        <v>26</v>
      </c>
      <c r="AC1" t="s">
        <v>28</v>
      </c>
    </row>
    <row r="2" spans="1:29" x14ac:dyDescent="0.25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7</v>
      </c>
      <c r="H2">
        <v>4</v>
      </c>
      <c r="I2">
        <v>-99</v>
      </c>
      <c r="J2">
        <v>25</v>
      </c>
      <c r="K2" s="1">
        <v>1.85435E-8</v>
      </c>
      <c r="L2">
        <v>0.66723200000000005</v>
      </c>
      <c r="M2">
        <v>1</v>
      </c>
      <c r="N2" s="1">
        <v>-1.84434E-8</v>
      </c>
      <c r="O2" s="1">
        <v>-1.3820799999999999E-6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Y2" s="1"/>
      <c r="Z2" s="1"/>
    </row>
    <row r="3" spans="1:29" x14ac:dyDescent="0.25">
      <c r="A3">
        <v>6</v>
      </c>
      <c r="B3" t="s">
        <v>22</v>
      </c>
      <c r="C3">
        <v>2</v>
      </c>
      <c r="D3">
        <v>-99</v>
      </c>
      <c r="E3">
        <v>-99</v>
      </c>
      <c r="F3">
        <v>-99</v>
      </c>
      <c r="G3">
        <v>7</v>
      </c>
      <c r="H3">
        <v>4</v>
      </c>
      <c r="I3">
        <v>-99</v>
      </c>
      <c r="J3">
        <v>25</v>
      </c>
      <c r="K3" s="1">
        <v>1.0912400000000001E-6</v>
      </c>
      <c r="L3">
        <v>0.66723399999999999</v>
      </c>
      <c r="M3">
        <v>1</v>
      </c>
      <c r="N3" s="1">
        <v>-2.4259700000000002E-6</v>
      </c>
      <c r="O3">
        <v>-1.81793E-4</v>
      </c>
      <c r="P3" s="1">
        <v>5.0853E-10</v>
      </c>
      <c r="Q3" s="1">
        <v>1.0717E-6</v>
      </c>
      <c r="R3" s="1">
        <v>2.6253000000000001E-7</v>
      </c>
      <c r="S3" s="1">
        <v>2.8477000000000001E-12</v>
      </c>
      <c r="T3" s="1">
        <v>0</v>
      </c>
      <c r="U3" s="1">
        <v>0</v>
      </c>
      <c r="V3" s="1">
        <v>0</v>
      </c>
      <c r="Y3" s="1"/>
      <c r="Z3" s="1"/>
    </row>
    <row r="4" spans="1:29" x14ac:dyDescent="0.25">
      <c r="A4">
        <v>7</v>
      </c>
      <c r="B4" t="s">
        <v>22</v>
      </c>
      <c r="C4">
        <v>3</v>
      </c>
      <c r="D4">
        <v>-99</v>
      </c>
      <c r="E4">
        <v>-99</v>
      </c>
      <c r="F4">
        <v>-99</v>
      </c>
      <c r="G4">
        <v>7</v>
      </c>
      <c r="H4">
        <v>4</v>
      </c>
      <c r="I4">
        <v>-99</v>
      </c>
      <c r="J4">
        <v>25</v>
      </c>
      <c r="K4" s="1">
        <v>1.0745500000000001E-5</v>
      </c>
      <c r="L4">
        <v>0.66725500000000004</v>
      </c>
      <c r="M4">
        <v>1</v>
      </c>
      <c r="N4" s="1">
        <v>-2.4092800000000001E-5</v>
      </c>
      <c r="O4">
        <v>-1.8054E-3</v>
      </c>
      <c r="P4" s="1">
        <v>5.0855000000000003E-9</v>
      </c>
      <c r="Q4" s="1">
        <v>1.0716999999999999E-5</v>
      </c>
      <c r="R4" s="1">
        <v>2.6253000000000001E-6</v>
      </c>
      <c r="S4" s="1">
        <v>2.8477000000000002E-11</v>
      </c>
      <c r="T4" s="1">
        <v>0</v>
      </c>
      <c r="U4" s="1">
        <v>0</v>
      </c>
      <c r="V4" s="1">
        <v>0</v>
      </c>
      <c r="Y4" s="1"/>
      <c r="Z4" s="1"/>
    </row>
    <row r="5" spans="1:29" x14ac:dyDescent="0.25">
      <c r="A5">
        <v>8</v>
      </c>
      <c r="B5" t="s">
        <v>22</v>
      </c>
      <c r="C5">
        <v>4</v>
      </c>
      <c r="D5">
        <v>-99</v>
      </c>
      <c r="E5">
        <v>-99</v>
      </c>
      <c r="F5">
        <v>-99</v>
      </c>
      <c r="G5">
        <v>7</v>
      </c>
      <c r="H5">
        <v>4</v>
      </c>
      <c r="I5">
        <v>-99</v>
      </c>
      <c r="J5">
        <v>25</v>
      </c>
      <c r="K5">
        <v>1.07287E-4</v>
      </c>
      <c r="L5">
        <v>0.66746099999999997</v>
      </c>
      <c r="M5">
        <v>1</v>
      </c>
      <c r="N5">
        <v>-2.40759E-4</v>
      </c>
      <c r="O5">
        <v>-1.80384E-2</v>
      </c>
      <c r="P5" s="1">
        <v>5.0874999999999997E-8</v>
      </c>
      <c r="Q5" s="1">
        <v>1.0717000000000001E-4</v>
      </c>
      <c r="R5" s="1">
        <v>2.6254999999999998E-5</v>
      </c>
      <c r="S5" s="1">
        <v>2.8478000000000002E-10</v>
      </c>
      <c r="T5" s="1">
        <v>0</v>
      </c>
      <c r="U5" s="1">
        <v>0</v>
      </c>
      <c r="V5" s="1">
        <v>0</v>
      </c>
      <c r="Y5" s="1"/>
      <c r="Z5" s="1"/>
    </row>
    <row r="6" spans="1:29" x14ac:dyDescent="0.25">
      <c r="A6">
        <v>9</v>
      </c>
      <c r="B6" t="s">
        <v>22</v>
      </c>
      <c r="C6">
        <v>5</v>
      </c>
      <c r="D6">
        <v>-99</v>
      </c>
      <c r="E6">
        <v>-99</v>
      </c>
      <c r="F6">
        <v>-99</v>
      </c>
      <c r="G6">
        <v>7</v>
      </c>
      <c r="H6">
        <v>4</v>
      </c>
      <c r="I6">
        <v>-99</v>
      </c>
      <c r="J6">
        <v>25</v>
      </c>
      <c r="K6">
        <v>2.14551E-4</v>
      </c>
      <c r="L6">
        <v>0.66769000000000001</v>
      </c>
      <c r="M6">
        <v>1</v>
      </c>
      <c r="N6">
        <v>-4.8149599999999999E-4</v>
      </c>
      <c r="O6">
        <v>-3.6068500000000003E-2</v>
      </c>
      <c r="P6" s="1">
        <v>1.0179E-7</v>
      </c>
      <c r="Q6" s="1">
        <v>2.1432999999999999E-4</v>
      </c>
      <c r="R6" s="1">
        <v>5.2513999999999999E-5</v>
      </c>
      <c r="S6" s="1">
        <v>5.6959999999999998E-10</v>
      </c>
      <c r="T6" s="1">
        <v>0</v>
      </c>
      <c r="U6" s="1">
        <v>0</v>
      </c>
      <c r="V6" s="1">
        <v>0</v>
      </c>
      <c r="Y6" s="1"/>
      <c r="Z6" s="1"/>
    </row>
    <row r="7" spans="1:29" x14ac:dyDescent="0.25">
      <c r="A7">
        <v>10</v>
      </c>
      <c r="B7" t="s">
        <v>22</v>
      </c>
      <c r="C7">
        <v>6</v>
      </c>
      <c r="D7">
        <v>-99</v>
      </c>
      <c r="E7">
        <v>-99</v>
      </c>
      <c r="F7">
        <v>-99</v>
      </c>
      <c r="G7">
        <v>7</v>
      </c>
      <c r="H7">
        <v>4</v>
      </c>
      <c r="I7">
        <v>-99</v>
      </c>
      <c r="J7">
        <v>25</v>
      </c>
      <c r="K7">
        <v>3.2181100000000003E-4</v>
      </c>
      <c r="L7">
        <v>0.66791900000000004</v>
      </c>
      <c r="M7">
        <v>1</v>
      </c>
      <c r="N7">
        <v>-7.2222900000000001E-4</v>
      </c>
      <c r="O7">
        <v>-5.40917E-2</v>
      </c>
      <c r="P7" s="1">
        <v>1.5274999999999999E-7</v>
      </c>
      <c r="Q7" s="1">
        <v>3.2149000000000001E-4</v>
      </c>
      <c r="R7" s="1">
        <v>7.8776999999999995E-5</v>
      </c>
      <c r="S7" s="1">
        <v>8.5444E-10</v>
      </c>
      <c r="T7" s="1">
        <v>0</v>
      </c>
      <c r="U7" s="1">
        <v>0</v>
      </c>
      <c r="V7" s="1">
        <v>0</v>
      </c>
      <c r="Y7" s="1"/>
      <c r="Z7" s="1"/>
    </row>
    <row r="8" spans="1:29" x14ac:dyDescent="0.25">
      <c r="A8">
        <v>11</v>
      </c>
      <c r="B8" t="s">
        <v>22</v>
      </c>
      <c r="C8">
        <v>7</v>
      </c>
      <c r="D8">
        <v>-99</v>
      </c>
      <c r="E8">
        <v>-99</v>
      </c>
      <c r="F8">
        <v>-99</v>
      </c>
      <c r="G8">
        <v>7</v>
      </c>
      <c r="H8">
        <v>4</v>
      </c>
      <c r="I8">
        <v>-99</v>
      </c>
      <c r="J8">
        <v>25</v>
      </c>
      <c r="K8">
        <v>5.3631999999999996E-4</v>
      </c>
      <c r="L8">
        <v>0.668377</v>
      </c>
      <c r="M8">
        <v>1</v>
      </c>
      <c r="N8">
        <v>-1.2036799999999999E-3</v>
      </c>
      <c r="O8">
        <v>-9.0117600000000006E-2</v>
      </c>
      <c r="P8" s="1">
        <v>2.5480999999999999E-7</v>
      </c>
      <c r="Q8" s="1">
        <v>5.3578999999999996E-4</v>
      </c>
      <c r="R8" s="1">
        <v>1.3130999999999999E-4</v>
      </c>
      <c r="S8" s="1">
        <v>1.4241999999999999E-9</v>
      </c>
      <c r="T8" s="1">
        <v>0</v>
      </c>
      <c r="U8" s="1">
        <v>0</v>
      </c>
      <c r="V8" s="1">
        <v>0</v>
      </c>
      <c r="Y8" s="1"/>
      <c r="Z8" s="1"/>
    </row>
    <row r="9" spans="1:29" x14ac:dyDescent="0.25">
      <c r="A9">
        <v>12</v>
      </c>
      <c r="B9" t="s">
        <v>22</v>
      </c>
      <c r="C9">
        <v>8</v>
      </c>
      <c r="D9">
        <v>-99</v>
      </c>
      <c r="E9">
        <v>-99</v>
      </c>
      <c r="F9">
        <v>-99</v>
      </c>
      <c r="G9">
        <v>7</v>
      </c>
      <c r="H9">
        <v>4</v>
      </c>
      <c r="I9">
        <v>-99</v>
      </c>
      <c r="J9">
        <v>25</v>
      </c>
      <c r="K9">
        <v>8.0443400000000003E-4</v>
      </c>
      <c r="L9">
        <v>0.66895000000000004</v>
      </c>
      <c r="M9">
        <v>1</v>
      </c>
      <c r="N9">
        <v>-1.8054799999999999E-3</v>
      </c>
      <c r="O9">
        <v>-0.13511100000000001</v>
      </c>
      <c r="P9" s="1">
        <v>3.8262000000000002E-7</v>
      </c>
      <c r="Q9" s="1">
        <v>8.0365000000000005E-4</v>
      </c>
      <c r="R9" s="1">
        <v>1.9701000000000001E-4</v>
      </c>
      <c r="S9" s="1">
        <v>2.1365999999999998E-9</v>
      </c>
      <c r="T9" s="1">
        <v>0</v>
      </c>
      <c r="U9" s="1">
        <v>0</v>
      </c>
      <c r="V9" s="1">
        <v>0</v>
      </c>
      <c r="Y9" s="1"/>
      <c r="Z9" s="1"/>
    </row>
    <row r="10" spans="1:29" x14ac:dyDescent="0.25">
      <c r="A10">
        <v>13</v>
      </c>
      <c r="B10" t="s">
        <v>22</v>
      </c>
      <c r="C10">
        <v>9</v>
      </c>
      <c r="D10">
        <v>-99</v>
      </c>
      <c r="E10">
        <v>-99</v>
      </c>
      <c r="F10">
        <v>-99</v>
      </c>
      <c r="G10">
        <v>7</v>
      </c>
      <c r="H10">
        <v>4</v>
      </c>
      <c r="I10">
        <v>-99</v>
      </c>
      <c r="J10">
        <v>25</v>
      </c>
      <c r="K10">
        <v>1.07252E-3</v>
      </c>
      <c r="L10">
        <v>0.66952199999999995</v>
      </c>
      <c r="M10">
        <v>1</v>
      </c>
      <c r="N10">
        <v>-2.4072500000000001E-3</v>
      </c>
      <c r="O10">
        <v>-0.180063</v>
      </c>
      <c r="P10" s="1">
        <v>5.1071E-7</v>
      </c>
      <c r="Q10" s="1">
        <v>1.0715E-3</v>
      </c>
      <c r="R10" s="1">
        <v>2.6272999999999997E-4</v>
      </c>
      <c r="S10" s="1">
        <v>2.8492E-9</v>
      </c>
      <c r="T10" s="1">
        <v>0</v>
      </c>
      <c r="U10" s="1">
        <v>0</v>
      </c>
      <c r="V10" s="1">
        <v>0</v>
      </c>
      <c r="Y10" s="1"/>
      <c r="Z10" s="1"/>
    </row>
    <row r="11" spans="1:29" x14ac:dyDescent="0.25">
      <c r="A11">
        <v>14</v>
      </c>
      <c r="B11" t="s">
        <v>22</v>
      </c>
      <c r="C11">
        <v>10</v>
      </c>
      <c r="D11">
        <v>-99</v>
      </c>
      <c r="E11">
        <v>-99</v>
      </c>
      <c r="F11">
        <v>-99</v>
      </c>
      <c r="G11">
        <v>7</v>
      </c>
      <c r="H11">
        <v>4</v>
      </c>
      <c r="I11">
        <v>-99</v>
      </c>
      <c r="J11">
        <v>25</v>
      </c>
      <c r="K11">
        <v>1.60863E-3</v>
      </c>
      <c r="L11">
        <v>0.67066700000000001</v>
      </c>
      <c r="M11">
        <v>1</v>
      </c>
      <c r="N11">
        <v>-3.6107299999999999E-3</v>
      </c>
      <c r="O11">
        <v>-0.26983699999999999</v>
      </c>
      <c r="P11" s="1">
        <v>7.6771000000000004E-7</v>
      </c>
      <c r="Q11" s="1">
        <v>1.6071E-3</v>
      </c>
      <c r="R11" s="1">
        <v>3.9424000000000002E-4</v>
      </c>
      <c r="S11" s="1">
        <v>4.2748999999999998E-9</v>
      </c>
      <c r="T11" s="1">
        <v>0</v>
      </c>
      <c r="U11" s="1">
        <v>0</v>
      </c>
      <c r="V11" s="1">
        <v>0</v>
      </c>
      <c r="Y11" s="1"/>
      <c r="Z11" s="1"/>
    </row>
    <row r="12" spans="1:29" x14ac:dyDescent="0.25">
      <c r="A12">
        <v>15</v>
      </c>
      <c r="B12" t="s">
        <v>22</v>
      </c>
      <c r="C12">
        <v>11</v>
      </c>
      <c r="D12">
        <v>-99</v>
      </c>
      <c r="E12">
        <v>-99</v>
      </c>
      <c r="F12">
        <v>-99</v>
      </c>
      <c r="G12">
        <v>7</v>
      </c>
      <c r="H12">
        <v>4</v>
      </c>
      <c r="I12">
        <v>-99</v>
      </c>
      <c r="J12">
        <v>25</v>
      </c>
      <c r="K12">
        <v>2.1446400000000002E-3</v>
      </c>
      <c r="L12">
        <v>0.67181199999999996</v>
      </c>
      <c r="M12">
        <v>1</v>
      </c>
      <c r="N12">
        <v>-4.8141E-3</v>
      </c>
      <c r="O12">
        <v>-0.35943999999999998</v>
      </c>
      <c r="P12" s="1">
        <v>1.0258E-6</v>
      </c>
      <c r="Q12" s="1">
        <v>2.1426000000000001E-3</v>
      </c>
      <c r="R12" s="1">
        <v>5.2585000000000002E-4</v>
      </c>
      <c r="S12" s="1">
        <v>5.7014000000000002E-9</v>
      </c>
      <c r="T12" s="1">
        <v>0</v>
      </c>
      <c r="U12" s="1">
        <v>0</v>
      </c>
      <c r="V12" s="1">
        <v>0</v>
      </c>
      <c r="Y12" s="1"/>
      <c r="Z12" s="1"/>
    </row>
    <row r="13" spans="1:29" x14ac:dyDescent="0.25">
      <c r="A13">
        <v>16</v>
      </c>
      <c r="B13" t="s">
        <v>22</v>
      </c>
      <c r="C13">
        <v>12</v>
      </c>
      <c r="D13">
        <v>-99</v>
      </c>
      <c r="E13">
        <v>-99</v>
      </c>
      <c r="F13">
        <v>-99</v>
      </c>
      <c r="G13">
        <v>7</v>
      </c>
      <c r="H13">
        <v>4</v>
      </c>
      <c r="I13">
        <v>-99</v>
      </c>
      <c r="J13">
        <v>25</v>
      </c>
      <c r="K13">
        <v>3.2163700000000001E-3</v>
      </c>
      <c r="L13">
        <v>0.67410099999999995</v>
      </c>
      <c r="M13">
        <v>1</v>
      </c>
      <c r="N13">
        <v>-7.22056E-3</v>
      </c>
      <c r="O13">
        <v>-0.53813800000000001</v>
      </c>
      <c r="P13" s="1">
        <v>1.5453000000000001E-6</v>
      </c>
      <c r="Q13" s="1">
        <v>3.2133000000000001E-3</v>
      </c>
      <c r="R13" s="1">
        <v>7.8936000000000002E-4</v>
      </c>
      <c r="S13" s="1">
        <v>8.5566E-9</v>
      </c>
      <c r="T13" s="1">
        <v>0</v>
      </c>
      <c r="U13" s="1">
        <v>0</v>
      </c>
      <c r="V13" s="1">
        <v>0</v>
      </c>
      <c r="Y13" s="1"/>
      <c r="Z13" s="1"/>
    </row>
    <row r="14" spans="1:29" x14ac:dyDescent="0.25">
      <c r="A14">
        <v>17</v>
      </c>
      <c r="B14" t="s">
        <v>22</v>
      </c>
      <c r="C14">
        <v>13</v>
      </c>
      <c r="D14">
        <v>-99</v>
      </c>
      <c r="E14">
        <v>-99</v>
      </c>
      <c r="F14">
        <v>-99</v>
      </c>
      <c r="G14">
        <v>7</v>
      </c>
      <c r="H14">
        <v>4</v>
      </c>
      <c r="I14">
        <v>-99</v>
      </c>
      <c r="J14">
        <v>25</v>
      </c>
      <c r="K14">
        <v>4.2877000000000002E-3</v>
      </c>
      <c r="L14">
        <v>0.67638900000000002</v>
      </c>
      <c r="M14">
        <v>1</v>
      </c>
      <c r="N14">
        <v>-9.6266200000000007E-3</v>
      </c>
      <c r="O14">
        <v>-0.71616000000000002</v>
      </c>
      <c r="P14" s="1">
        <v>2.0692E-6</v>
      </c>
      <c r="Q14" s="1">
        <v>4.2836000000000003E-3</v>
      </c>
      <c r="R14" s="1">
        <v>1.0533000000000001E-3</v>
      </c>
      <c r="S14" s="1">
        <v>1.1415E-8</v>
      </c>
      <c r="T14" s="1">
        <v>0</v>
      </c>
      <c r="U14" s="1">
        <v>0</v>
      </c>
      <c r="V14" s="1">
        <v>0</v>
      </c>
      <c r="Y14" s="1"/>
      <c r="Z14" s="1"/>
    </row>
    <row r="15" spans="1:29" x14ac:dyDescent="0.25">
      <c r="A15">
        <v>18</v>
      </c>
      <c r="B15" t="s">
        <v>22</v>
      </c>
      <c r="C15">
        <v>14</v>
      </c>
      <c r="D15">
        <v>-99</v>
      </c>
      <c r="E15">
        <v>-99</v>
      </c>
      <c r="F15">
        <v>-99</v>
      </c>
      <c r="G15">
        <v>7</v>
      </c>
      <c r="H15">
        <v>4</v>
      </c>
      <c r="I15">
        <v>-99</v>
      </c>
      <c r="J15">
        <v>25</v>
      </c>
      <c r="K15">
        <v>5.3586399999999996E-3</v>
      </c>
      <c r="L15">
        <v>0.67867599999999995</v>
      </c>
      <c r="M15">
        <v>1</v>
      </c>
      <c r="N15">
        <v>-1.2032299999999999E-2</v>
      </c>
      <c r="O15">
        <v>-0.89351000000000003</v>
      </c>
      <c r="P15" s="1">
        <v>2.5975000000000001E-6</v>
      </c>
      <c r="Q15" s="1">
        <v>5.3534000000000003E-3</v>
      </c>
      <c r="R15" s="1">
        <v>1.3175999999999999E-3</v>
      </c>
      <c r="S15" s="1">
        <v>1.4276999999999999E-8</v>
      </c>
      <c r="T15" s="1">
        <v>0</v>
      </c>
      <c r="U15" s="1">
        <v>0</v>
      </c>
      <c r="V15" s="1">
        <v>0</v>
      </c>
      <c r="Y15" s="1"/>
      <c r="Z15" s="1"/>
    </row>
    <row r="16" spans="1:29" x14ac:dyDescent="0.25">
      <c r="A16">
        <v>19</v>
      </c>
      <c r="B16" t="s">
        <v>22</v>
      </c>
      <c r="C16">
        <v>15</v>
      </c>
      <c r="D16">
        <v>-99</v>
      </c>
      <c r="E16">
        <v>-99</v>
      </c>
      <c r="F16">
        <v>-99</v>
      </c>
      <c r="G16">
        <v>7</v>
      </c>
      <c r="H16">
        <v>4</v>
      </c>
      <c r="I16">
        <v>-99</v>
      </c>
      <c r="J16">
        <v>25</v>
      </c>
      <c r="K16">
        <v>7.4993000000000004E-3</v>
      </c>
      <c r="L16">
        <v>0.683249</v>
      </c>
      <c r="M16">
        <v>1</v>
      </c>
      <c r="N16">
        <v>-1.68424E-2</v>
      </c>
      <c r="O16">
        <v>-1.24621</v>
      </c>
      <c r="P16" s="1">
        <v>3.6673999999999998E-6</v>
      </c>
      <c r="Q16" s="1">
        <v>7.4920000000000004E-3</v>
      </c>
      <c r="R16" s="1">
        <v>1.8473999999999999E-3</v>
      </c>
      <c r="S16" s="1">
        <v>2.0009000000000001E-8</v>
      </c>
      <c r="T16" s="1">
        <v>0</v>
      </c>
      <c r="U16" s="1">
        <v>0</v>
      </c>
      <c r="V16" s="1">
        <v>0</v>
      </c>
      <c r="Y16" s="1"/>
      <c r="Z16" s="1"/>
    </row>
    <row r="17" spans="1:30" x14ac:dyDescent="0.25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7</v>
      </c>
      <c r="H17">
        <v>-1.6214900000000001</v>
      </c>
      <c r="I17">
        <v>-99</v>
      </c>
      <c r="J17">
        <v>25</v>
      </c>
      <c r="K17" s="1">
        <v>1.8534100000000001E-8</v>
      </c>
      <c r="L17">
        <v>0.66698500000000005</v>
      </c>
      <c r="M17">
        <v>0.99999000000000005</v>
      </c>
      <c r="N17">
        <v>-5.5422499999999999E-4</v>
      </c>
      <c r="O17">
        <v>-4.1547500000000001E-2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Y17" s="1">
        <f>T17+U17+V17</f>
        <v>0</v>
      </c>
      <c r="Z17" s="1">
        <f>(Y17*1000*74.92)/10</f>
        <v>0</v>
      </c>
      <c r="AA17" s="1">
        <f>P17+Q17+R17+S17</f>
        <v>0</v>
      </c>
      <c r="AB17">
        <f>AA17*(10^6)/74.92</f>
        <v>0</v>
      </c>
      <c r="AC17" s="1">
        <f>SUM(P17:V17)*74.92*10^3</f>
        <v>0</v>
      </c>
      <c r="AD17" s="1"/>
    </row>
    <row r="18" spans="1:30" x14ac:dyDescent="0.25">
      <c r="A18">
        <v>22</v>
      </c>
      <c r="B18" t="s">
        <v>23</v>
      </c>
      <c r="C18">
        <v>2</v>
      </c>
      <c r="D18">
        <v>-99</v>
      </c>
      <c r="E18">
        <v>0</v>
      </c>
      <c r="F18">
        <v>1</v>
      </c>
      <c r="G18">
        <v>7</v>
      </c>
      <c r="H18">
        <v>10.835000000000001</v>
      </c>
      <c r="I18">
        <v>-99</v>
      </c>
      <c r="J18">
        <v>25</v>
      </c>
      <c r="K18" s="1">
        <v>1.8534299999999999E-8</v>
      </c>
      <c r="L18">
        <v>0.66698400000000002</v>
      </c>
      <c r="M18">
        <v>0.99999000000000005</v>
      </c>
      <c r="N18">
        <v>-5.5520999999999999E-4</v>
      </c>
      <c r="O18">
        <v>-4.1621400000000003E-2</v>
      </c>
      <c r="P18" s="1">
        <v>1.0191E-16</v>
      </c>
      <c r="Q18" s="1">
        <v>2.1487999999999999E-13</v>
      </c>
      <c r="R18" s="1">
        <v>5.2633999999999998E-14</v>
      </c>
      <c r="S18" s="1">
        <v>5.7092999999999997E-19</v>
      </c>
      <c r="T18" s="1">
        <v>1.2545E-6</v>
      </c>
      <c r="U18" s="1">
        <v>8.0181999999999996E-8</v>
      </c>
      <c r="V18" s="1">
        <v>2.0402E-11</v>
      </c>
      <c r="Y18" s="1">
        <f t="shared" ref="Y18:Y31" si="0">T18+U18+V18</f>
        <v>1.3347024020000001E-6</v>
      </c>
      <c r="Z18" s="1">
        <f t="shared" ref="Z18:Z31" si="1">(Y18*1000*74.92)/10</f>
        <v>9.999590395784002E-3</v>
      </c>
      <c r="AA18" s="1">
        <f t="shared" ref="AA18:AA31" si="2">P18+Q18+R18+S18</f>
        <v>2.6761648092999996E-13</v>
      </c>
      <c r="AB18">
        <f t="shared" ref="AB18:AB31" si="3">AA18*(10^6)/74.92</f>
        <v>3.5720299109717026E-9</v>
      </c>
      <c r="AC18" s="1">
        <f t="shared" ref="AC18:AC31" si="4">SUM(P18:V18)*74.92*10^3</f>
        <v>9.9995924007666756E-2</v>
      </c>
    </row>
    <row r="19" spans="1:30" x14ac:dyDescent="0.25">
      <c r="A19">
        <v>23</v>
      </c>
      <c r="B19" t="s">
        <v>23</v>
      </c>
      <c r="C19">
        <v>3</v>
      </c>
      <c r="D19">
        <v>-99</v>
      </c>
      <c r="E19">
        <v>0</v>
      </c>
      <c r="F19">
        <v>1</v>
      </c>
      <c r="G19">
        <v>7</v>
      </c>
      <c r="H19">
        <v>10.6988</v>
      </c>
      <c r="I19">
        <v>-99</v>
      </c>
      <c r="J19">
        <v>25</v>
      </c>
      <c r="K19" s="1">
        <v>1.8536199999999999E-8</v>
      </c>
      <c r="L19">
        <v>0.66698000000000002</v>
      </c>
      <c r="M19">
        <v>0.99999000000000005</v>
      </c>
      <c r="N19">
        <v>-5.6411199999999997E-4</v>
      </c>
      <c r="O19">
        <v>-4.2288899999999997E-2</v>
      </c>
      <c r="P19" s="1">
        <v>1.106E-15</v>
      </c>
      <c r="Q19" s="1">
        <v>2.3321000000000001E-12</v>
      </c>
      <c r="R19" s="1">
        <v>5.7122999999999998E-13</v>
      </c>
      <c r="S19" s="1">
        <v>6.1962999999999999E-18</v>
      </c>
      <c r="T19" s="1">
        <v>1.252E-5</v>
      </c>
      <c r="U19" s="1">
        <v>8.2732000000000003E-7</v>
      </c>
      <c r="V19" s="1">
        <v>2.1764999999999999E-10</v>
      </c>
      <c r="Y19" s="1">
        <f t="shared" si="0"/>
        <v>1.3347537650000001E-5</v>
      </c>
      <c r="Z19" s="1">
        <f t="shared" si="1"/>
        <v>9.9999752073800005E-2</v>
      </c>
      <c r="AA19" s="1">
        <f t="shared" si="2"/>
        <v>2.9044421963000003E-12</v>
      </c>
      <c r="AB19">
        <f t="shared" si="3"/>
        <v>3.8767247681526966E-8</v>
      </c>
      <c r="AC19" s="1">
        <f t="shared" si="4"/>
        <v>0.99999773833880945</v>
      </c>
    </row>
    <row r="20" spans="1:30" x14ac:dyDescent="0.25">
      <c r="A20">
        <v>24</v>
      </c>
      <c r="B20" t="s">
        <v>23</v>
      </c>
      <c r="C20">
        <v>4</v>
      </c>
      <c r="D20">
        <v>-99</v>
      </c>
      <c r="E20">
        <v>0</v>
      </c>
      <c r="F20">
        <v>1</v>
      </c>
      <c r="G20">
        <v>7</v>
      </c>
      <c r="H20">
        <v>1.8669100000000001</v>
      </c>
      <c r="I20">
        <v>-99</v>
      </c>
      <c r="J20">
        <v>25</v>
      </c>
      <c r="K20" s="1">
        <v>1.8587700000000001E-8</v>
      </c>
      <c r="L20">
        <v>0.666937</v>
      </c>
      <c r="M20">
        <v>0.99999099999999996</v>
      </c>
      <c r="N20">
        <v>-6.5629800000000004E-4</v>
      </c>
      <c r="O20">
        <v>-4.9202900000000001E-2</v>
      </c>
      <c r="P20" s="1">
        <v>2.6217000000000001E-14</v>
      </c>
      <c r="Q20" s="1">
        <v>5.5280999999999998E-11</v>
      </c>
      <c r="R20" s="1">
        <v>1.3541E-11</v>
      </c>
      <c r="S20" s="1">
        <v>1.4688000000000001E-16</v>
      </c>
      <c r="T20" s="1">
        <v>1.2205999999999999E-4</v>
      </c>
      <c r="U20" s="1">
        <v>1.1409E-5</v>
      </c>
      <c r="V20" s="1">
        <v>4.2454000000000002E-9</v>
      </c>
      <c r="Y20" s="1">
        <f t="shared" si="0"/>
        <v>1.3347324539999999E-4</v>
      </c>
      <c r="Z20" s="1">
        <f t="shared" si="1"/>
        <v>0.99998155453679993</v>
      </c>
      <c r="AA20" s="1">
        <f t="shared" si="2"/>
        <v>6.8848363880000003E-11</v>
      </c>
      <c r="AB20">
        <f t="shared" si="3"/>
        <v>9.1895840736785901E-7</v>
      </c>
      <c r="AC20" s="1">
        <f t="shared" si="4"/>
        <v>9.9998207034874227</v>
      </c>
    </row>
    <row r="21" spans="1:30" x14ac:dyDescent="0.25">
      <c r="A21">
        <v>25</v>
      </c>
      <c r="B21" t="s">
        <v>23</v>
      </c>
      <c r="C21">
        <v>5</v>
      </c>
      <c r="D21">
        <v>-99</v>
      </c>
      <c r="E21">
        <v>0</v>
      </c>
      <c r="F21">
        <v>1</v>
      </c>
      <c r="G21">
        <v>7</v>
      </c>
      <c r="H21">
        <v>2.25502</v>
      </c>
      <c r="I21">
        <v>-99</v>
      </c>
      <c r="J21">
        <v>25</v>
      </c>
      <c r="K21" s="1">
        <v>1.8853E-8</v>
      </c>
      <c r="L21">
        <v>0.66688800000000004</v>
      </c>
      <c r="M21">
        <v>0.99999099999999996</v>
      </c>
      <c r="N21">
        <v>-7.6313100000000001E-4</v>
      </c>
      <c r="O21">
        <v>-5.7216299999999998E-2</v>
      </c>
      <c r="P21" s="1">
        <v>1.5276999999999999E-13</v>
      </c>
      <c r="Q21" s="1">
        <v>3.2216999999999998E-10</v>
      </c>
      <c r="R21" s="1">
        <v>7.8910999999999998E-11</v>
      </c>
      <c r="S21" s="1">
        <v>8.5597999999999996E-16</v>
      </c>
      <c r="T21" s="1">
        <v>2.3373E-4</v>
      </c>
      <c r="U21" s="1">
        <v>3.3204000000000003E-5</v>
      </c>
      <c r="V21" s="1">
        <v>1.8778999999999999E-8</v>
      </c>
      <c r="Y21" s="1">
        <f t="shared" si="0"/>
        <v>2.6695277900000002E-4</v>
      </c>
      <c r="Z21" s="1">
        <f t="shared" si="1"/>
        <v>2.0000102202680003</v>
      </c>
      <c r="AA21" s="1">
        <f t="shared" si="2"/>
        <v>4.0123462597999995E-10</v>
      </c>
      <c r="AB21">
        <f t="shared" si="3"/>
        <v>5.355507554458088E-6</v>
      </c>
      <c r="AC21" s="1">
        <f t="shared" si="4"/>
        <v>20.000132263178177</v>
      </c>
    </row>
    <row r="22" spans="1:30" x14ac:dyDescent="0.25">
      <c r="A22">
        <v>26</v>
      </c>
      <c r="B22" t="s">
        <v>23</v>
      </c>
      <c r="C22">
        <v>6</v>
      </c>
      <c r="D22">
        <v>-99</v>
      </c>
      <c r="E22">
        <v>0</v>
      </c>
      <c r="F22">
        <v>1</v>
      </c>
      <c r="G22">
        <v>7</v>
      </c>
      <c r="H22">
        <v>2.62568</v>
      </c>
      <c r="I22">
        <v>-99</v>
      </c>
      <c r="J22">
        <v>25</v>
      </c>
      <c r="K22" s="1">
        <v>2.0151899999999999E-8</v>
      </c>
      <c r="L22">
        <v>0.66683899999999996</v>
      </c>
      <c r="M22">
        <v>0.99999199999999999</v>
      </c>
      <c r="N22">
        <v>-8.7003299999999998E-4</v>
      </c>
      <c r="O22">
        <v>-6.5236199999999994E-2</v>
      </c>
      <c r="P22" s="1">
        <v>7.6894999999999997E-13</v>
      </c>
      <c r="Q22" s="1">
        <v>1.6217000000000001E-9</v>
      </c>
      <c r="R22" s="1">
        <v>3.9722E-10</v>
      </c>
      <c r="S22" s="1">
        <v>4.3088000000000001E-15</v>
      </c>
      <c r="T22" s="1">
        <v>3.2664E-4</v>
      </c>
      <c r="U22" s="1">
        <v>7.3714000000000006E-5</v>
      </c>
      <c r="V22" s="1">
        <v>6.6226E-8</v>
      </c>
      <c r="Y22" s="1">
        <f t="shared" si="0"/>
        <v>4.0042022599999998E-4</v>
      </c>
      <c r="Z22" s="1">
        <f t="shared" si="1"/>
        <v>2.999948333192</v>
      </c>
      <c r="AA22" s="1">
        <f t="shared" si="2"/>
        <v>2.0196932588000001E-9</v>
      </c>
      <c r="AB22">
        <f t="shared" si="3"/>
        <v>2.6957998649225841E-5</v>
      </c>
      <c r="AC22" s="1">
        <f t="shared" si="4"/>
        <v>29.999634647338947</v>
      </c>
    </row>
    <row r="23" spans="1:30" x14ac:dyDescent="0.25">
      <c r="A23">
        <v>27</v>
      </c>
      <c r="B23" t="s">
        <v>23</v>
      </c>
      <c r="C23">
        <v>7</v>
      </c>
      <c r="D23">
        <v>-99</v>
      </c>
      <c r="E23">
        <v>0</v>
      </c>
      <c r="F23">
        <v>1</v>
      </c>
      <c r="G23">
        <v>7</v>
      </c>
      <c r="H23">
        <v>3.2673000000000001</v>
      </c>
      <c r="I23">
        <v>-99</v>
      </c>
      <c r="J23">
        <v>25</v>
      </c>
      <c r="K23" s="1">
        <v>6.2802100000000001E-8</v>
      </c>
      <c r="L23">
        <v>0.66674800000000001</v>
      </c>
      <c r="M23">
        <v>0.99999300000000002</v>
      </c>
      <c r="N23">
        <v>-1.0663999999999999E-3</v>
      </c>
      <c r="O23">
        <v>-7.9970899999999998E-2</v>
      </c>
      <c r="P23" s="1">
        <v>2.097E-11</v>
      </c>
      <c r="Q23" s="1">
        <v>4.4234999999999999E-8</v>
      </c>
      <c r="R23" s="1">
        <v>1.0834E-8</v>
      </c>
      <c r="S23" s="1">
        <v>1.1751999999999999E-13</v>
      </c>
      <c r="T23" s="1">
        <v>4.0507E-4</v>
      </c>
      <c r="U23" s="1">
        <v>2.6156999999999998E-4</v>
      </c>
      <c r="V23" s="1">
        <v>6.7243999999999995E-7</v>
      </c>
      <c r="Y23" s="1">
        <f t="shared" si="0"/>
        <v>6.6731244000000007E-4</v>
      </c>
      <c r="Z23" s="1">
        <f t="shared" si="1"/>
        <v>4.9995048004800013</v>
      </c>
      <c r="AA23" s="1">
        <f t="shared" si="2"/>
        <v>5.5090087519999995E-8</v>
      </c>
      <c r="AB23">
        <f t="shared" si="3"/>
        <v>7.3531884036305388E-4</v>
      </c>
      <c r="AC23" s="1">
        <f t="shared" si="4"/>
        <v>49.999175354157011</v>
      </c>
    </row>
    <row r="24" spans="1:30" x14ac:dyDescent="0.25">
      <c r="A24">
        <v>28</v>
      </c>
      <c r="B24" t="s">
        <v>23</v>
      </c>
      <c r="C24">
        <v>8</v>
      </c>
      <c r="D24">
        <v>-99</v>
      </c>
      <c r="E24">
        <v>0</v>
      </c>
      <c r="F24">
        <v>1</v>
      </c>
      <c r="G24">
        <v>7</v>
      </c>
      <c r="H24">
        <v>4.2101899999999999</v>
      </c>
      <c r="I24">
        <v>-99</v>
      </c>
      <c r="J24">
        <v>25</v>
      </c>
      <c r="K24" s="1">
        <v>1.86804E-6</v>
      </c>
      <c r="L24">
        <v>0.66666199999999998</v>
      </c>
      <c r="M24">
        <v>0.99999499999999997</v>
      </c>
      <c r="N24">
        <v>-1.26385E-3</v>
      </c>
      <c r="O24">
        <v>-9.47905E-2</v>
      </c>
      <c r="P24" s="1">
        <v>8.7581999999999998E-10</v>
      </c>
      <c r="Q24" s="1">
        <v>1.8477999999999999E-6</v>
      </c>
      <c r="R24" s="1">
        <v>4.5255000000000001E-7</v>
      </c>
      <c r="S24" s="1">
        <v>4.9090000000000002E-12</v>
      </c>
      <c r="T24" s="1">
        <v>3.0065000000000002E-4</v>
      </c>
      <c r="U24" s="1">
        <v>6.9176999999999997E-4</v>
      </c>
      <c r="V24" s="1">
        <v>6.3366999999999998E-6</v>
      </c>
      <c r="Y24" s="1">
        <f t="shared" si="0"/>
        <v>9.9875669999999997E-4</v>
      </c>
      <c r="Z24" s="1">
        <f t="shared" si="1"/>
        <v>7.4826851964000003</v>
      </c>
      <c r="AA24" s="1">
        <f t="shared" si="2"/>
        <v>2.3012307290000001E-6</v>
      </c>
      <c r="AB24">
        <f t="shared" si="3"/>
        <v>3.0715839949279233E-2</v>
      </c>
      <c r="AC24" s="1">
        <f t="shared" si="4"/>
        <v>74.999260170216687</v>
      </c>
    </row>
    <row r="25" spans="1:30" x14ac:dyDescent="0.25">
      <c r="A25">
        <v>29</v>
      </c>
      <c r="B25" t="s">
        <v>23</v>
      </c>
      <c r="C25">
        <v>9</v>
      </c>
      <c r="D25">
        <v>-99</v>
      </c>
      <c r="E25">
        <v>0</v>
      </c>
      <c r="F25">
        <v>1</v>
      </c>
      <c r="G25">
        <v>7</v>
      </c>
      <c r="H25">
        <v>4.7480399999999996</v>
      </c>
      <c r="I25">
        <v>-99</v>
      </c>
      <c r="J25">
        <v>25</v>
      </c>
      <c r="K25" s="1">
        <v>2.9491800000000001E-5</v>
      </c>
      <c r="L25">
        <v>0.66666899999999996</v>
      </c>
      <c r="M25">
        <v>0.99999899999999997</v>
      </c>
      <c r="N25">
        <v>-1.43407E-3</v>
      </c>
      <c r="O25">
        <v>-0.10756</v>
      </c>
      <c r="P25" s="1">
        <v>1.3957000000000001E-8</v>
      </c>
      <c r="Q25" s="1">
        <v>2.9445E-5</v>
      </c>
      <c r="R25" s="1">
        <v>7.2116999999999999E-6</v>
      </c>
      <c r="S25" s="1">
        <v>7.8229000000000002E-11</v>
      </c>
      <c r="T25" s="1">
        <v>1.8494E-4</v>
      </c>
      <c r="U25" s="1">
        <v>1.0877E-3</v>
      </c>
      <c r="V25" s="1">
        <v>2.5465000000000001E-5</v>
      </c>
      <c r="Y25" s="1">
        <f t="shared" si="0"/>
        <v>1.2981049999999999E-3</v>
      </c>
      <c r="Z25" s="1">
        <f t="shared" si="1"/>
        <v>9.7254026599999985</v>
      </c>
      <c r="AA25" s="1">
        <f t="shared" si="2"/>
        <v>3.6670735228999996E-5</v>
      </c>
      <c r="AB25">
        <f t="shared" si="3"/>
        <v>0.4894652326348104</v>
      </c>
      <c r="AC25" s="1">
        <f t="shared" si="4"/>
        <v>100.00139808335668</v>
      </c>
    </row>
    <row r="26" spans="1:30" x14ac:dyDescent="0.25">
      <c r="A26">
        <v>30</v>
      </c>
      <c r="B26" t="s">
        <v>23</v>
      </c>
      <c r="C26">
        <v>10</v>
      </c>
      <c r="D26">
        <v>-99</v>
      </c>
      <c r="E26">
        <v>0</v>
      </c>
      <c r="F26">
        <v>1</v>
      </c>
      <c r="G26">
        <v>7</v>
      </c>
      <c r="H26">
        <v>5.2643899999999997</v>
      </c>
      <c r="I26">
        <v>-99</v>
      </c>
      <c r="J26">
        <v>25</v>
      </c>
      <c r="K26">
        <v>3.4036E-4</v>
      </c>
      <c r="L26">
        <v>0.66730400000000001</v>
      </c>
      <c r="M26">
        <v>1</v>
      </c>
      <c r="N26">
        <v>-2.1899300000000001E-3</v>
      </c>
      <c r="O26">
        <v>-0.16417100000000001</v>
      </c>
      <c r="P26" s="1">
        <v>1.6137E-7</v>
      </c>
      <c r="Q26" s="1">
        <v>3.4002000000000001E-4</v>
      </c>
      <c r="R26" s="1">
        <v>8.3298000000000001E-5</v>
      </c>
      <c r="S26" s="1">
        <v>9.0352E-10</v>
      </c>
      <c r="T26" s="1">
        <v>1.1932E-4</v>
      </c>
      <c r="U26" s="1">
        <v>1.3944000000000001E-3</v>
      </c>
      <c r="V26" s="1">
        <v>6.4874000000000003E-5</v>
      </c>
      <c r="Y26" s="1">
        <f t="shared" si="0"/>
        <v>1.578594E-3</v>
      </c>
      <c r="Z26" s="1">
        <f t="shared" si="1"/>
        <v>11.826826248</v>
      </c>
      <c r="AA26" s="1">
        <f t="shared" si="2"/>
        <v>4.2348027352E-4</v>
      </c>
      <c r="AB26">
        <f t="shared" si="3"/>
        <v>5.6524329087026164</v>
      </c>
      <c r="AC26" s="1">
        <f t="shared" si="4"/>
        <v>149.99540457211842</v>
      </c>
    </row>
    <row r="27" spans="1:30" x14ac:dyDescent="0.25">
      <c r="A27">
        <v>31</v>
      </c>
      <c r="B27" t="s">
        <v>23</v>
      </c>
      <c r="C27">
        <v>11</v>
      </c>
      <c r="D27">
        <v>-99</v>
      </c>
      <c r="E27">
        <v>0</v>
      </c>
      <c r="F27">
        <v>1</v>
      </c>
      <c r="G27">
        <v>7</v>
      </c>
      <c r="H27">
        <v>6.0114000000000001</v>
      </c>
      <c r="I27">
        <v>-99</v>
      </c>
      <c r="J27">
        <v>25</v>
      </c>
      <c r="K27">
        <v>8.1085300000000005E-4</v>
      </c>
      <c r="L27">
        <v>0.66830100000000003</v>
      </c>
      <c r="M27">
        <v>1</v>
      </c>
      <c r="N27">
        <v>-3.2596399999999998E-3</v>
      </c>
      <c r="O27">
        <v>-0.24417</v>
      </c>
      <c r="P27" s="1">
        <v>3.8519000000000002E-7</v>
      </c>
      <c r="Q27" s="1">
        <v>8.1006999999999997E-4</v>
      </c>
      <c r="R27" s="1">
        <v>1.9853000000000001E-4</v>
      </c>
      <c r="S27" s="1">
        <v>2.1532E-9</v>
      </c>
      <c r="T27" s="1">
        <v>1.0657E-4</v>
      </c>
      <c r="U27" s="1">
        <v>1.4729000000000001E-3</v>
      </c>
      <c r="V27" s="1">
        <v>8.1036000000000001E-5</v>
      </c>
      <c r="Y27" s="1">
        <f t="shared" si="0"/>
        <v>1.6605060000000002E-3</v>
      </c>
      <c r="Z27" s="1">
        <f t="shared" si="1"/>
        <v>12.440510952000002</v>
      </c>
      <c r="AA27" s="1">
        <f t="shared" si="2"/>
        <v>1.0089873431999999E-3</v>
      </c>
      <c r="AB27">
        <f t="shared" si="3"/>
        <v>13.467529941270687</v>
      </c>
      <c r="AC27" s="1">
        <f t="shared" si="4"/>
        <v>199.99844127254403</v>
      </c>
    </row>
    <row r="28" spans="1:30" x14ac:dyDescent="0.25">
      <c r="A28">
        <v>32</v>
      </c>
      <c r="B28" t="s">
        <v>23</v>
      </c>
      <c r="C28">
        <v>12</v>
      </c>
      <c r="D28">
        <v>-99</v>
      </c>
      <c r="E28">
        <v>0</v>
      </c>
      <c r="F28">
        <v>1</v>
      </c>
      <c r="G28">
        <v>7</v>
      </c>
      <c r="H28">
        <v>5.7784500000000003</v>
      </c>
      <c r="I28">
        <v>-99</v>
      </c>
      <c r="J28">
        <v>25</v>
      </c>
      <c r="K28">
        <v>1.8369199999999999E-3</v>
      </c>
      <c r="L28">
        <v>0.67048799999999997</v>
      </c>
      <c r="M28">
        <v>1</v>
      </c>
      <c r="N28">
        <v>-5.5717500000000003E-3</v>
      </c>
      <c r="O28">
        <v>-0.41663899999999998</v>
      </c>
      <c r="P28" s="1">
        <v>8.7634999999999998E-7</v>
      </c>
      <c r="Q28" s="1">
        <v>1.8351000000000001E-3</v>
      </c>
      <c r="R28" s="1">
        <v>4.5015000000000002E-4</v>
      </c>
      <c r="S28" s="1">
        <v>4.8812999999999997E-9</v>
      </c>
      <c r="T28" s="1">
        <v>9.9013999999999998E-5</v>
      </c>
      <c r="U28" s="1">
        <v>1.5254000000000001E-3</v>
      </c>
      <c r="V28" s="1">
        <v>9.3558000000000001E-5</v>
      </c>
      <c r="Y28" s="1">
        <f t="shared" si="0"/>
        <v>1.7179720000000001E-3</v>
      </c>
      <c r="Z28" s="1">
        <f t="shared" si="1"/>
        <v>12.871046224000001</v>
      </c>
      <c r="AA28" s="1">
        <f t="shared" si="2"/>
        <v>2.2861312313000003E-3</v>
      </c>
      <c r="AB28">
        <f t="shared" si="3"/>
        <v>30.514298335557932</v>
      </c>
      <c r="AC28" s="1">
        <f t="shared" si="4"/>
        <v>299.98741408899605</v>
      </c>
    </row>
    <row r="29" spans="1:30" x14ac:dyDescent="0.25">
      <c r="A29">
        <v>33</v>
      </c>
      <c r="B29" t="s">
        <v>23</v>
      </c>
      <c r="C29">
        <v>13</v>
      </c>
      <c r="D29">
        <v>-99</v>
      </c>
      <c r="E29">
        <v>0</v>
      </c>
      <c r="F29">
        <v>1</v>
      </c>
      <c r="G29">
        <v>7</v>
      </c>
      <c r="H29">
        <v>5.7167599999999998</v>
      </c>
      <c r="I29">
        <v>-99</v>
      </c>
      <c r="J29">
        <v>25</v>
      </c>
      <c r="K29">
        <v>2.8904600000000001E-3</v>
      </c>
      <c r="L29">
        <v>0.672736</v>
      </c>
      <c r="M29">
        <v>1.0000100000000001</v>
      </c>
      <c r="N29">
        <v>-7.9400300000000007E-3</v>
      </c>
      <c r="O29">
        <v>-0.59267400000000003</v>
      </c>
      <c r="P29" s="1">
        <v>1.3850000000000001E-6</v>
      </c>
      <c r="Q29" s="1">
        <v>2.8877E-3</v>
      </c>
      <c r="R29" s="1">
        <v>7.0898000000000001E-4</v>
      </c>
      <c r="S29" s="1">
        <v>7.6862999999999998E-9</v>
      </c>
      <c r="T29" s="1">
        <v>9.6407E-5</v>
      </c>
      <c r="U29" s="1">
        <v>1.5458E-3</v>
      </c>
      <c r="V29" s="1">
        <v>9.8667999999999998E-5</v>
      </c>
      <c r="Y29" s="1">
        <f t="shared" si="0"/>
        <v>1.7408749999999998E-3</v>
      </c>
      <c r="Z29" s="1">
        <f t="shared" si="1"/>
        <v>13.042635499999998</v>
      </c>
      <c r="AA29" s="1">
        <f t="shared" si="2"/>
        <v>3.5980726863000002E-3</v>
      </c>
      <c r="AB29">
        <f t="shared" si="3"/>
        <v>48.025529715696749</v>
      </c>
      <c r="AC29" s="1">
        <f t="shared" si="4"/>
        <v>399.99396065759595</v>
      </c>
    </row>
    <row r="30" spans="1:30" x14ac:dyDescent="0.25">
      <c r="A30">
        <v>34</v>
      </c>
      <c r="B30" t="s">
        <v>23</v>
      </c>
      <c r="C30">
        <v>14</v>
      </c>
      <c r="D30">
        <v>-99</v>
      </c>
      <c r="E30">
        <v>0</v>
      </c>
      <c r="F30">
        <v>1</v>
      </c>
      <c r="G30">
        <v>7</v>
      </c>
      <c r="H30">
        <v>11.008100000000001</v>
      </c>
      <c r="I30">
        <v>-99</v>
      </c>
      <c r="J30">
        <v>25</v>
      </c>
      <c r="K30">
        <v>3.9520900000000001E-3</v>
      </c>
      <c r="L30">
        <v>0.67500300000000002</v>
      </c>
      <c r="M30">
        <v>1.0000100000000001</v>
      </c>
      <c r="N30">
        <v>-1.03251E-2</v>
      </c>
      <c r="O30">
        <v>-0.76932299999999998</v>
      </c>
      <c r="P30" s="1">
        <v>1.9021E-6</v>
      </c>
      <c r="Q30" s="1">
        <v>3.9483000000000001E-3</v>
      </c>
      <c r="R30" s="1">
        <v>9.7028000000000001E-4</v>
      </c>
      <c r="S30" s="1">
        <v>1.0517000000000001E-8</v>
      </c>
      <c r="T30" s="1">
        <v>9.5169999999999999E-5</v>
      </c>
      <c r="U30" s="1">
        <v>1.5566E-3</v>
      </c>
      <c r="V30" s="1">
        <v>1.0136000000000001E-4</v>
      </c>
      <c r="Y30" s="1">
        <f t="shared" si="0"/>
        <v>1.7531299999999999E-3</v>
      </c>
      <c r="Z30" s="1">
        <f t="shared" si="1"/>
        <v>13.134449960000001</v>
      </c>
      <c r="AA30" s="1">
        <f t="shared" si="2"/>
        <v>4.920492617E-3</v>
      </c>
      <c r="AB30">
        <f t="shared" si="3"/>
        <v>65.676623291510936</v>
      </c>
      <c r="AC30" s="1">
        <f t="shared" si="4"/>
        <v>499.98780646564001</v>
      </c>
    </row>
    <row r="31" spans="1:30" x14ac:dyDescent="0.25">
      <c r="A31">
        <v>35</v>
      </c>
      <c r="B31" t="s">
        <v>23</v>
      </c>
      <c r="C31">
        <v>15</v>
      </c>
      <c r="D31">
        <v>-99</v>
      </c>
      <c r="E31">
        <v>0</v>
      </c>
      <c r="F31">
        <v>1</v>
      </c>
      <c r="G31">
        <v>7</v>
      </c>
      <c r="H31">
        <v>6.32843</v>
      </c>
      <c r="I31">
        <v>-99</v>
      </c>
      <c r="J31">
        <v>25</v>
      </c>
      <c r="K31">
        <v>6.0835200000000002E-3</v>
      </c>
      <c r="L31">
        <v>0.67955600000000005</v>
      </c>
      <c r="M31">
        <v>1.0000100000000001</v>
      </c>
      <c r="N31">
        <v>-1.5113100000000001E-2</v>
      </c>
      <c r="O31">
        <v>-1.1220300000000001</v>
      </c>
      <c r="P31" s="1">
        <v>2.9538999999999998E-6</v>
      </c>
      <c r="Q31" s="1">
        <v>6.0775999999999998E-3</v>
      </c>
      <c r="R31" s="1">
        <v>1.4963999999999999E-3</v>
      </c>
      <c r="S31" s="1">
        <v>1.6212E-8</v>
      </c>
      <c r="T31" s="1">
        <v>9.4135999999999995E-5</v>
      </c>
      <c r="U31" s="1">
        <v>1.5679999999999999E-3</v>
      </c>
      <c r="V31" s="1">
        <v>1.0398E-4</v>
      </c>
      <c r="Y31" s="1">
        <f t="shared" si="0"/>
        <v>1.7661160000000001E-3</v>
      </c>
      <c r="Z31" s="1">
        <f t="shared" si="1"/>
        <v>13.231741072</v>
      </c>
      <c r="AA31" s="1">
        <f t="shared" si="2"/>
        <v>7.5769701120000001E-3</v>
      </c>
      <c r="AB31">
        <f t="shared" si="3"/>
        <v>101.13414458088627</v>
      </c>
      <c r="AC31" s="1">
        <f t="shared" si="4"/>
        <v>699.98401151104008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Views>
    <sheetView topLeftCell="O10" workbookViewId="0">
      <selection sqref="A1:V31"/>
    </sheetView>
  </sheetViews>
  <sheetFormatPr defaultRowHeight="15" x14ac:dyDescent="0.25"/>
  <cols>
    <col min="26" max="26" width="13.7109375" customWidth="1"/>
    <col min="28" max="28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24</v>
      </c>
      <c r="Z1" t="s">
        <v>27</v>
      </c>
      <c r="AA1" t="s">
        <v>25</v>
      </c>
      <c r="AB1" t="s">
        <v>26</v>
      </c>
      <c r="AC1" t="s">
        <v>28</v>
      </c>
    </row>
    <row r="2" spans="1:29" x14ac:dyDescent="0.25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7</v>
      </c>
      <c r="H2">
        <v>4</v>
      </c>
      <c r="I2">
        <v>-99</v>
      </c>
      <c r="J2">
        <v>25</v>
      </c>
      <c r="K2" s="1">
        <v>1.2071300000000001E-8</v>
      </c>
      <c r="L2">
        <v>0.29275800000000002</v>
      </c>
      <c r="M2">
        <v>1</v>
      </c>
      <c r="N2" s="1">
        <v>-1.2069499999999999E-8</v>
      </c>
      <c r="O2" s="1">
        <v>-2.0613399999999999E-6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Y2" s="1"/>
      <c r="Z2" s="1"/>
    </row>
    <row r="3" spans="1:29" x14ac:dyDescent="0.25">
      <c r="A3">
        <v>6</v>
      </c>
      <c r="B3" t="s">
        <v>22</v>
      </c>
      <c r="C3">
        <v>2</v>
      </c>
      <c r="D3">
        <v>-99</v>
      </c>
      <c r="E3">
        <v>-99</v>
      </c>
      <c r="F3">
        <v>-99</v>
      </c>
      <c r="G3">
        <v>7</v>
      </c>
      <c r="H3">
        <v>4</v>
      </c>
      <c r="I3">
        <v>-99</v>
      </c>
      <c r="J3">
        <v>25</v>
      </c>
      <c r="K3" s="1">
        <v>1.09456E-6</v>
      </c>
      <c r="L3">
        <v>0.29276099999999999</v>
      </c>
      <c r="M3">
        <v>1</v>
      </c>
      <c r="N3" s="1">
        <v>-2.4292899999999999E-6</v>
      </c>
      <c r="O3">
        <v>-4.1489499999999998E-4</v>
      </c>
      <c r="P3" s="1">
        <v>2.1883000000000001E-10</v>
      </c>
      <c r="Q3" s="1">
        <v>1.0821E-6</v>
      </c>
      <c r="R3" s="1">
        <v>2.5245000000000001E-7</v>
      </c>
      <c r="S3" s="1">
        <v>2.9368000000000002E-12</v>
      </c>
      <c r="T3" s="1">
        <v>0</v>
      </c>
      <c r="U3" s="1">
        <v>0</v>
      </c>
      <c r="V3" s="1">
        <v>0</v>
      </c>
      <c r="Y3" s="1"/>
      <c r="Z3" s="1"/>
    </row>
    <row r="4" spans="1:29" x14ac:dyDescent="0.25">
      <c r="A4">
        <v>7</v>
      </c>
      <c r="B4" t="s">
        <v>22</v>
      </c>
      <c r="C4">
        <v>3</v>
      </c>
      <c r="D4">
        <v>-99</v>
      </c>
      <c r="E4">
        <v>-99</v>
      </c>
      <c r="F4">
        <v>-99</v>
      </c>
      <c r="G4">
        <v>7</v>
      </c>
      <c r="H4">
        <v>4</v>
      </c>
      <c r="I4">
        <v>-99</v>
      </c>
      <c r="J4">
        <v>25</v>
      </c>
      <c r="K4" s="1">
        <v>1.0837E-5</v>
      </c>
      <c r="L4">
        <v>0.29278100000000001</v>
      </c>
      <c r="M4">
        <v>1</v>
      </c>
      <c r="N4" s="1">
        <v>-2.4184300000000002E-5</v>
      </c>
      <c r="O4">
        <v>-4.1302500000000002E-3</v>
      </c>
      <c r="P4" s="1">
        <v>2.1884E-9</v>
      </c>
      <c r="Q4" s="1">
        <v>1.0821E-5</v>
      </c>
      <c r="R4" s="1">
        <v>2.5245000000000001E-6</v>
      </c>
      <c r="S4" s="1">
        <v>2.9366999999999998E-11</v>
      </c>
      <c r="T4" s="1">
        <v>0</v>
      </c>
      <c r="U4" s="1">
        <v>0</v>
      </c>
      <c r="V4" s="1">
        <v>0</v>
      </c>
      <c r="Y4" s="1"/>
      <c r="Z4" s="1"/>
    </row>
    <row r="5" spans="1:29" x14ac:dyDescent="0.25">
      <c r="A5">
        <v>8</v>
      </c>
      <c r="B5" t="s">
        <v>22</v>
      </c>
      <c r="C5">
        <v>4</v>
      </c>
      <c r="D5">
        <v>-99</v>
      </c>
      <c r="E5">
        <v>-99</v>
      </c>
      <c r="F5">
        <v>-99</v>
      </c>
      <c r="G5">
        <v>7</v>
      </c>
      <c r="H5">
        <v>4</v>
      </c>
      <c r="I5">
        <v>-99</v>
      </c>
      <c r="J5">
        <v>25</v>
      </c>
      <c r="K5">
        <v>1.08263E-4</v>
      </c>
      <c r="L5">
        <v>0.29298800000000003</v>
      </c>
      <c r="M5">
        <v>1</v>
      </c>
      <c r="N5">
        <v>-2.41735E-4</v>
      </c>
      <c r="O5">
        <v>-4.1268699999999998E-2</v>
      </c>
      <c r="P5" s="1">
        <v>2.1897000000000001E-8</v>
      </c>
      <c r="Q5" s="1">
        <v>1.0821E-4</v>
      </c>
      <c r="R5" s="1">
        <v>2.5244000000000001E-5</v>
      </c>
      <c r="S5" s="1">
        <v>2.9363999999999998E-10</v>
      </c>
      <c r="T5" s="1">
        <v>0</v>
      </c>
      <c r="U5" s="1">
        <v>0</v>
      </c>
      <c r="V5" s="1">
        <v>0</v>
      </c>
      <c r="Y5" s="1"/>
      <c r="Z5" s="1"/>
    </row>
    <row r="6" spans="1:29" x14ac:dyDescent="0.25">
      <c r="A6">
        <v>9</v>
      </c>
      <c r="B6" t="s">
        <v>22</v>
      </c>
      <c r="C6">
        <v>5</v>
      </c>
      <c r="D6">
        <v>-99</v>
      </c>
      <c r="E6">
        <v>-99</v>
      </c>
      <c r="F6">
        <v>-99</v>
      </c>
      <c r="G6">
        <v>7</v>
      </c>
      <c r="H6">
        <v>4</v>
      </c>
      <c r="I6">
        <v>-99</v>
      </c>
      <c r="J6">
        <v>25</v>
      </c>
      <c r="K6">
        <v>2.1651600000000001E-4</v>
      </c>
      <c r="L6">
        <v>0.29321900000000001</v>
      </c>
      <c r="M6">
        <v>1</v>
      </c>
      <c r="N6">
        <v>-4.8346199999999999E-4</v>
      </c>
      <c r="O6">
        <v>-8.2501500000000005E-2</v>
      </c>
      <c r="P6" s="1">
        <v>4.3824000000000003E-8</v>
      </c>
      <c r="Q6" s="1">
        <v>2.1641999999999999E-4</v>
      </c>
      <c r="R6" s="1">
        <v>5.0484E-5</v>
      </c>
      <c r="S6" s="1">
        <v>5.872E-10</v>
      </c>
      <c r="T6" s="1">
        <v>0</v>
      </c>
      <c r="U6" s="1">
        <v>0</v>
      </c>
      <c r="V6" s="1">
        <v>0</v>
      </c>
      <c r="Y6" s="1"/>
      <c r="Z6" s="1"/>
    </row>
    <row r="7" spans="1:29" x14ac:dyDescent="0.25">
      <c r="A7">
        <v>10</v>
      </c>
      <c r="B7" t="s">
        <v>22</v>
      </c>
      <c r="C7">
        <v>6</v>
      </c>
      <c r="D7">
        <v>-99</v>
      </c>
      <c r="E7">
        <v>-99</v>
      </c>
      <c r="F7">
        <v>-99</v>
      </c>
      <c r="G7">
        <v>7</v>
      </c>
      <c r="H7">
        <v>4</v>
      </c>
      <c r="I7">
        <v>-99</v>
      </c>
      <c r="J7">
        <v>25</v>
      </c>
      <c r="K7">
        <v>3.2477299999999999E-4</v>
      </c>
      <c r="L7">
        <v>0.29344900000000002</v>
      </c>
      <c r="M7">
        <v>1</v>
      </c>
      <c r="N7">
        <v>-7.2519100000000003E-4</v>
      </c>
      <c r="O7">
        <v>-0.1237</v>
      </c>
      <c r="P7" s="1">
        <v>6.5778999999999996E-8</v>
      </c>
      <c r="Q7" s="1">
        <v>3.2463000000000001E-4</v>
      </c>
      <c r="R7" s="1">
        <v>7.5722000000000004E-5</v>
      </c>
      <c r="S7" s="1">
        <v>8.8067000000000002E-10</v>
      </c>
      <c r="T7" s="1">
        <v>0</v>
      </c>
      <c r="U7" s="1">
        <v>0</v>
      </c>
      <c r="V7" s="1">
        <v>0</v>
      </c>
      <c r="Y7" s="1"/>
      <c r="Z7" s="1"/>
    </row>
    <row r="8" spans="1:29" x14ac:dyDescent="0.25">
      <c r="A8">
        <v>11</v>
      </c>
      <c r="B8" t="s">
        <v>22</v>
      </c>
      <c r="C8">
        <v>7</v>
      </c>
      <c r="D8">
        <v>-99</v>
      </c>
      <c r="E8">
        <v>-99</v>
      </c>
      <c r="F8">
        <v>-99</v>
      </c>
      <c r="G8">
        <v>7</v>
      </c>
      <c r="H8">
        <v>4</v>
      </c>
      <c r="I8">
        <v>-99</v>
      </c>
      <c r="J8">
        <v>25</v>
      </c>
      <c r="K8">
        <v>5.4129500000000001E-4</v>
      </c>
      <c r="L8">
        <v>0.29390899999999998</v>
      </c>
      <c r="M8">
        <v>1</v>
      </c>
      <c r="N8">
        <v>-1.2086600000000001E-3</v>
      </c>
      <c r="O8">
        <v>-0.20599700000000001</v>
      </c>
      <c r="P8" s="1">
        <v>1.0977999999999999E-7</v>
      </c>
      <c r="Q8" s="1">
        <v>5.4106E-4</v>
      </c>
      <c r="R8" s="1">
        <v>1.2619000000000001E-4</v>
      </c>
      <c r="S8" s="1">
        <v>1.4673999999999999E-9</v>
      </c>
      <c r="T8" s="1">
        <v>0</v>
      </c>
      <c r="U8" s="1">
        <v>0</v>
      </c>
      <c r="V8" s="1">
        <v>0</v>
      </c>
      <c r="Y8" s="1"/>
      <c r="Z8" s="1"/>
    </row>
    <row r="9" spans="1:29" x14ac:dyDescent="0.25">
      <c r="A9">
        <v>12</v>
      </c>
      <c r="B9" t="s">
        <v>22</v>
      </c>
      <c r="C9">
        <v>8</v>
      </c>
      <c r="D9">
        <v>-99</v>
      </c>
      <c r="E9">
        <v>-99</v>
      </c>
      <c r="F9">
        <v>-99</v>
      </c>
      <c r="G9">
        <v>7</v>
      </c>
      <c r="H9">
        <v>4</v>
      </c>
      <c r="I9">
        <v>-99</v>
      </c>
      <c r="J9">
        <v>25</v>
      </c>
      <c r="K9">
        <v>8.1196299999999996E-4</v>
      </c>
      <c r="L9">
        <v>0.29448400000000002</v>
      </c>
      <c r="M9">
        <v>1</v>
      </c>
      <c r="N9">
        <v>-1.8130100000000001E-3</v>
      </c>
      <c r="O9">
        <v>-0.30867899999999998</v>
      </c>
      <c r="P9" s="1">
        <v>1.6493999999999999E-7</v>
      </c>
      <c r="Q9" s="1">
        <v>8.1161999999999998E-4</v>
      </c>
      <c r="R9" s="1">
        <v>1.8925999999999999E-4</v>
      </c>
      <c r="S9" s="1">
        <v>2.2004E-9</v>
      </c>
      <c r="T9" s="1">
        <v>0</v>
      </c>
      <c r="U9" s="1">
        <v>0</v>
      </c>
      <c r="V9" s="1">
        <v>0</v>
      </c>
      <c r="Y9" s="1"/>
      <c r="Z9" s="1"/>
    </row>
    <row r="10" spans="1:29" x14ac:dyDescent="0.25">
      <c r="A10">
        <v>13</v>
      </c>
      <c r="B10" t="s">
        <v>22</v>
      </c>
      <c r="C10">
        <v>9</v>
      </c>
      <c r="D10">
        <v>-99</v>
      </c>
      <c r="E10">
        <v>-99</v>
      </c>
      <c r="F10">
        <v>-99</v>
      </c>
      <c r="G10">
        <v>7</v>
      </c>
      <c r="H10">
        <v>4</v>
      </c>
      <c r="I10">
        <v>-99</v>
      </c>
      <c r="J10">
        <v>25</v>
      </c>
      <c r="K10">
        <v>1.0826500000000001E-3</v>
      </c>
      <c r="L10">
        <v>0.29505999999999999</v>
      </c>
      <c r="M10">
        <v>1</v>
      </c>
      <c r="N10">
        <v>-2.4173799999999998E-3</v>
      </c>
      <c r="O10">
        <v>-0.41115099999999999</v>
      </c>
      <c r="P10" s="1">
        <v>2.2028000000000001E-7</v>
      </c>
      <c r="Q10" s="1">
        <v>1.0822E-3</v>
      </c>
      <c r="R10" s="1">
        <v>2.5230000000000001E-4</v>
      </c>
      <c r="S10" s="1">
        <v>2.9328E-9</v>
      </c>
      <c r="T10" s="1">
        <v>0</v>
      </c>
      <c r="U10" s="1">
        <v>0</v>
      </c>
      <c r="V10" s="1">
        <v>0</v>
      </c>
      <c r="Y10" s="1"/>
      <c r="Z10" s="1"/>
    </row>
    <row r="11" spans="1:29" x14ac:dyDescent="0.25">
      <c r="A11">
        <v>14</v>
      </c>
      <c r="B11" t="s">
        <v>22</v>
      </c>
      <c r="C11">
        <v>10</v>
      </c>
      <c r="D11">
        <v>-99</v>
      </c>
      <c r="E11">
        <v>-99</v>
      </c>
      <c r="F11">
        <v>-99</v>
      </c>
      <c r="G11">
        <v>7</v>
      </c>
      <c r="H11">
        <v>4</v>
      </c>
      <c r="I11">
        <v>-99</v>
      </c>
      <c r="J11">
        <v>25</v>
      </c>
      <c r="K11">
        <v>1.62408E-3</v>
      </c>
      <c r="L11">
        <v>0.296211</v>
      </c>
      <c r="M11">
        <v>1</v>
      </c>
      <c r="N11">
        <v>-3.6261700000000002E-3</v>
      </c>
      <c r="O11">
        <v>-0.61546800000000002</v>
      </c>
      <c r="P11" s="1">
        <v>3.3151999999999999E-7</v>
      </c>
      <c r="Q11" s="1">
        <v>1.6234000000000001E-3</v>
      </c>
      <c r="R11" s="1">
        <v>3.7835000000000001E-4</v>
      </c>
      <c r="S11" s="1">
        <v>4.3962999999999998E-9</v>
      </c>
      <c r="T11" s="1">
        <v>0</v>
      </c>
      <c r="U11" s="1">
        <v>0</v>
      </c>
      <c r="V11" s="1">
        <v>0</v>
      </c>
      <c r="Y11" s="1"/>
      <c r="Z11" s="1"/>
    </row>
    <row r="12" spans="1:29" x14ac:dyDescent="0.25">
      <c r="A12">
        <v>15</v>
      </c>
      <c r="B12" t="s">
        <v>22</v>
      </c>
      <c r="C12">
        <v>11</v>
      </c>
      <c r="D12">
        <v>-99</v>
      </c>
      <c r="E12">
        <v>-99</v>
      </c>
      <c r="F12">
        <v>-99</v>
      </c>
      <c r="G12">
        <v>7</v>
      </c>
      <c r="H12">
        <v>4</v>
      </c>
      <c r="I12">
        <v>-99</v>
      </c>
      <c r="J12">
        <v>25</v>
      </c>
      <c r="K12">
        <v>2.1655699999999999E-3</v>
      </c>
      <c r="L12">
        <v>0.29736200000000002</v>
      </c>
      <c r="M12">
        <v>1</v>
      </c>
      <c r="N12">
        <v>-4.8350299999999997E-3</v>
      </c>
      <c r="O12">
        <v>-0.81895300000000004</v>
      </c>
      <c r="P12" s="1">
        <v>4.4349000000000001E-7</v>
      </c>
      <c r="Q12" s="1">
        <v>2.1646999999999999E-3</v>
      </c>
      <c r="R12" s="1">
        <v>5.0432999999999999E-4</v>
      </c>
      <c r="S12" s="1">
        <v>5.8578999999999998E-9</v>
      </c>
      <c r="T12" s="1">
        <v>0</v>
      </c>
      <c r="U12" s="1">
        <v>0</v>
      </c>
      <c r="V12" s="1">
        <v>0</v>
      </c>
      <c r="Y12" s="1"/>
      <c r="Z12" s="1"/>
    </row>
    <row r="13" spans="1:29" x14ac:dyDescent="0.25">
      <c r="A13">
        <v>16</v>
      </c>
      <c r="B13" t="s">
        <v>22</v>
      </c>
      <c r="C13">
        <v>12</v>
      </c>
      <c r="D13">
        <v>-99</v>
      </c>
      <c r="E13">
        <v>-99</v>
      </c>
      <c r="F13">
        <v>-99</v>
      </c>
      <c r="G13">
        <v>7</v>
      </c>
      <c r="H13">
        <v>4</v>
      </c>
      <c r="I13">
        <v>-99</v>
      </c>
      <c r="J13">
        <v>25</v>
      </c>
      <c r="K13">
        <v>3.2487700000000002E-3</v>
      </c>
      <c r="L13">
        <v>0.29966399999999999</v>
      </c>
      <c r="M13">
        <v>1</v>
      </c>
      <c r="N13">
        <v>-7.2529600000000001E-3</v>
      </c>
      <c r="O13">
        <v>-1.2234499999999999</v>
      </c>
      <c r="P13" s="1">
        <v>6.6962000000000004E-7</v>
      </c>
      <c r="Q13" s="1">
        <v>3.2474000000000001E-3</v>
      </c>
      <c r="R13" s="1">
        <v>7.5608000000000001E-4</v>
      </c>
      <c r="S13" s="1">
        <v>8.7753999999999993E-9</v>
      </c>
      <c r="T13" s="1">
        <v>0</v>
      </c>
      <c r="U13" s="1">
        <v>0</v>
      </c>
      <c r="V13" s="1">
        <v>0</v>
      </c>
      <c r="Y13" s="1"/>
      <c r="Z13" s="1"/>
    </row>
    <row r="14" spans="1:29" x14ac:dyDescent="0.25">
      <c r="A14">
        <v>17</v>
      </c>
      <c r="B14" t="s">
        <v>22</v>
      </c>
      <c r="C14">
        <v>13</v>
      </c>
      <c r="D14">
        <v>-99</v>
      </c>
      <c r="E14">
        <v>-99</v>
      </c>
      <c r="F14">
        <v>-99</v>
      </c>
      <c r="G14">
        <v>7</v>
      </c>
      <c r="H14">
        <v>4</v>
      </c>
      <c r="I14">
        <v>-99</v>
      </c>
      <c r="J14">
        <v>25</v>
      </c>
      <c r="K14">
        <v>4.3322300000000003E-3</v>
      </c>
      <c r="L14">
        <v>0.30196699999999999</v>
      </c>
      <c r="M14">
        <v>1</v>
      </c>
      <c r="N14">
        <v>-9.6711499999999999E-3</v>
      </c>
      <c r="O14">
        <v>-1.6246700000000001</v>
      </c>
      <c r="P14" s="1">
        <v>8.9869000000000001E-7</v>
      </c>
      <c r="Q14" s="1">
        <v>4.3303999999999999E-3</v>
      </c>
      <c r="R14" s="1">
        <v>1.0076E-3</v>
      </c>
      <c r="S14" s="1">
        <v>1.1686E-8</v>
      </c>
      <c r="T14" s="1">
        <v>0</v>
      </c>
      <c r="U14" s="1">
        <v>0</v>
      </c>
      <c r="V14" s="1">
        <v>0</v>
      </c>
      <c r="Y14" s="1"/>
      <c r="Z14" s="1"/>
    </row>
    <row r="15" spans="1:29" x14ac:dyDescent="0.25">
      <c r="A15">
        <v>18</v>
      </c>
      <c r="B15" t="s">
        <v>22</v>
      </c>
      <c r="C15">
        <v>14</v>
      </c>
      <c r="D15">
        <v>-99</v>
      </c>
      <c r="E15">
        <v>-99</v>
      </c>
      <c r="F15">
        <v>-99</v>
      </c>
      <c r="G15">
        <v>7</v>
      </c>
      <c r="H15">
        <v>4</v>
      </c>
      <c r="I15">
        <v>-99</v>
      </c>
      <c r="J15">
        <v>25</v>
      </c>
      <c r="K15">
        <v>5.4159400000000002E-3</v>
      </c>
      <c r="L15">
        <v>0.30426999999999998</v>
      </c>
      <c r="M15">
        <v>1</v>
      </c>
      <c r="N15">
        <v>-1.2089600000000001E-2</v>
      </c>
      <c r="O15">
        <v>-2.0226600000000001</v>
      </c>
      <c r="P15" s="1">
        <v>1.1307E-6</v>
      </c>
      <c r="Q15" s="1">
        <v>5.4136999999999996E-3</v>
      </c>
      <c r="R15" s="1">
        <v>1.2588E-3</v>
      </c>
      <c r="S15" s="1">
        <v>1.4589000000000001E-8</v>
      </c>
      <c r="T15" s="1">
        <v>0</v>
      </c>
      <c r="U15" s="1">
        <v>0</v>
      </c>
      <c r="V15" s="1">
        <v>0</v>
      </c>
      <c r="Y15" s="1"/>
      <c r="Z15" s="1"/>
    </row>
    <row r="16" spans="1:29" x14ac:dyDescent="0.25">
      <c r="A16">
        <v>19</v>
      </c>
      <c r="B16" t="s">
        <v>22</v>
      </c>
      <c r="C16">
        <v>15</v>
      </c>
      <c r="D16">
        <v>-99</v>
      </c>
      <c r="E16">
        <v>-99</v>
      </c>
      <c r="F16">
        <v>-99</v>
      </c>
      <c r="G16">
        <v>7</v>
      </c>
      <c r="H16">
        <v>4</v>
      </c>
      <c r="I16">
        <v>-99</v>
      </c>
      <c r="J16">
        <v>25</v>
      </c>
      <c r="K16">
        <v>7.5840600000000001E-3</v>
      </c>
      <c r="L16">
        <v>0.30887700000000001</v>
      </c>
      <c r="M16">
        <v>1</v>
      </c>
      <c r="N16">
        <v>-1.69272E-2</v>
      </c>
      <c r="O16">
        <v>-2.8090999999999999</v>
      </c>
      <c r="P16" s="1">
        <v>1.6036E-6</v>
      </c>
      <c r="Q16" s="1">
        <v>7.5808999999999998E-3</v>
      </c>
      <c r="R16" s="1">
        <v>1.7606E-3</v>
      </c>
      <c r="S16" s="1">
        <v>2.0374999999999999E-8</v>
      </c>
      <c r="T16" s="1">
        <v>0</v>
      </c>
      <c r="U16" s="1">
        <v>0</v>
      </c>
      <c r="V16" s="1">
        <v>0</v>
      </c>
      <c r="Y16" s="1"/>
      <c r="Z16" s="1"/>
    </row>
    <row r="17" spans="1:30" x14ac:dyDescent="0.25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7</v>
      </c>
      <c r="H17">
        <v>11.366099999999999</v>
      </c>
      <c r="I17">
        <v>-99</v>
      </c>
      <c r="J17">
        <v>25</v>
      </c>
      <c r="K17" s="1">
        <v>1.20596E-8</v>
      </c>
      <c r="L17">
        <v>0.29254999999999998</v>
      </c>
      <c r="M17">
        <v>0.99999199999999999</v>
      </c>
      <c r="N17">
        <v>-4.4087599999999998E-4</v>
      </c>
      <c r="O17">
        <v>-7.5351299999999996E-2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Y17" s="1">
        <f>T17+U17+V17</f>
        <v>0</v>
      </c>
      <c r="Z17" s="1">
        <f>(Y17*1000*74.92)/10</f>
        <v>0</v>
      </c>
      <c r="AA17" s="1">
        <f>P17+Q17+R17+S17</f>
        <v>0</v>
      </c>
      <c r="AB17">
        <f>AA17*(10^6)/74.92</f>
        <v>0</v>
      </c>
      <c r="AC17" s="1">
        <f>SUM(P17:V17)*74.92*10^3</f>
        <v>0</v>
      </c>
      <c r="AD17" s="1"/>
    </row>
    <row r="18" spans="1:30" x14ac:dyDescent="0.25">
      <c r="A18">
        <v>22</v>
      </c>
      <c r="B18" t="s">
        <v>23</v>
      </c>
      <c r="C18">
        <v>2</v>
      </c>
      <c r="D18">
        <v>-99</v>
      </c>
      <c r="E18">
        <v>0</v>
      </c>
      <c r="F18">
        <v>1</v>
      </c>
      <c r="G18">
        <v>7</v>
      </c>
      <c r="H18">
        <v>10.6105</v>
      </c>
      <c r="I18">
        <v>-99</v>
      </c>
      <c r="J18">
        <v>25</v>
      </c>
      <c r="K18" s="1">
        <v>1.20597E-8</v>
      </c>
      <c r="L18">
        <v>0.292549</v>
      </c>
      <c r="M18">
        <v>0.99999199999999999</v>
      </c>
      <c r="N18">
        <v>-4.4207099999999999E-4</v>
      </c>
      <c r="O18">
        <v>-7.5555600000000001E-2</v>
      </c>
      <c r="P18" s="1">
        <v>2.5524000000000001E-17</v>
      </c>
      <c r="Q18" s="1">
        <v>1.2629000000000001E-13</v>
      </c>
      <c r="R18" s="1">
        <v>2.9466E-14</v>
      </c>
      <c r="S18" s="1">
        <v>3.4280000000000002E-19</v>
      </c>
      <c r="T18" s="1">
        <v>1.2728999999999999E-6</v>
      </c>
      <c r="U18" s="1">
        <v>6.1854000000000006E-8</v>
      </c>
      <c r="V18" s="1">
        <v>1.1966E-11</v>
      </c>
      <c r="Y18" s="1">
        <f t="shared" ref="Y18:Y31" si="0">T18+U18+V18</f>
        <v>1.3347659659999999E-6</v>
      </c>
      <c r="Z18" s="1">
        <f t="shared" ref="Z18:Z31" si="1">(Y18*1000*74.92)/10</f>
        <v>1.0000066617271999E-2</v>
      </c>
      <c r="AA18" s="1">
        <f t="shared" ref="AA18:AA31" si="2">P18+Q18+R18+S18</f>
        <v>1.5578186680000002E-13</v>
      </c>
      <c r="AB18">
        <f t="shared" ref="AB18:AB31" si="3">AA18*(10^6)/74.92</f>
        <v>2.0793094874532837E-9</v>
      </c>
      <c r="AC18" s="1">
        <f t="shared" ref="AC18:AC31" si="4">SUM(P18:V18)*74.92*10^3</f>
        <v>0.10000067784389745</v>
      </c>
    </row>
    <row r="19" spans="1:30" x14ac:dyDescent="0.25">
      <c r="A19">
        <v>23</v>
      </c>
      <c r="B19" t="s">
        <v>23</v>
      </c>
      <c r="C19">
        <v>3</v>
      </c>
      <c r="D19">
        <v>-99</v>
      </c>
      <c r="E19">
        <v>0</v>
      </c>
      <c r="F19">
        <v>1</v>
      </c>
      <c r="G19">
        <v>7</v>
      </c>
      <c r="H19">
        <v>0.89332800000000001</v>
      </c>
      <c r="I19">
        <v>-99</v>
      </c>
      <c r="J19">
        <v>25</v>
      </c>
      <c r="K19" s="1">
        <v>1.20607E-8</v>
      </c>
      <c r="L19">
        <v>0.29254400000000003</v>
      </c>
      <c r="M19">
        <v>0.99999199999999999</v>
      </c>
      <c r="N19">
        <v>-4.5288199999999999E-4</v>
      </c>
      <c r="O19">
        <v>-7.7404700000000007E-2</v>
      </c>
      <c r="P19" s="1">
        <v>2.8002999999999999E-16</v>
      </c>
      <c r="Q19" s="1">
        <v>1.3854999999999999E-12</v>
      </c>
      <c r="R19" s="1">
        <v>3.2328000000000001E-13</v>
      </c>
      <c r="S19" s="1">
        <v>3.7610000000000002E-18</v>
      </c>
      <c r="T19" s="1">
        <v>1.2704999999999999E-5</v>
      </c>
      <c r="U19" s="1">
        <v>6.4196000000000001E-7</v>
      </c>
      <c r="V19" s="1">
        <v>1.2913E-10</v>
      </c>
      <c r="Y19" s="1">
        <f t="shared" si="0"/>
        <v>1.3347089130000001E-5</v>
      </c>
      <c r="Z19" s="1">
        <f t="shared" si="1"/>
        <v>9.9996391761959999E-2</v>
      </c>
      <c r="AA19" s="1">
        <f t="shared" si="2"/>
        <v>1.7090637909999998E-12</v>
      </c>
      <c r="AB19">
        <f t="shared" si="3"/>
        <v>2.281184985317672E-8</v>
      </c>
      <c r="AC19" s="1">
        <f t="shared" si="4"/>
        <v>0.99996404566265928</v>
      </c>
    </row>
    <row r="20" spans="1:30" x14ac:dyDescent="0.25">
      <c r="A20">
        <v>24</v>
      </c>
      <c r="B20" t="s">
        <v>23</v>
      </c>
      <c r="C20">
        <v>4</v>
      </c>
      <c r="D20">
        <v>-99</v>
      </c>
      <c r="E20">
        <v>0</v>
      </c>
      <c r="F20">
        <v>1</v>
      </c>
      <c r="G20">
        <v>7</v>
      </c>
      <c r="H20">
        <v>10.411099999999999</v>
      </c>
      <c r="I20">
        <v>-99</v>
      </c>
      <c r="J20">
        <v>25</v>
      </c>
      <c r="K20" s="1">
        <v>1.2092900000000001E-8</v>
      </c>
      <c r="L20">
        <v>0.292489</v>
      </c>
      <c r="M20">
        <v>0.99999199999999999</v>
      </c>
      <c r="N20">
        <v>-5.6630600000000004E-4</v>
      </c>
      <c r="O20">
        <v>-9.6808699999999998E-2</v>
      </c>
      <c r="P20" s="1">
        <v>7.4092999999999999E-15</v>
      </c>
      <c r="Q20" s="1">
        <v>3.6664999999999997E-11</v>
      </c>
      <c r="R20" s="1">
        <v>8.5549000000000002E-12</v>
      </c>
      <c r="S20" s="1">
        <v>9.9528000000000002E-17</v>
      </c>
      <c r="T20" s="1">
        <v>1.2409000000000001E-4</v>
      </c>
      <c r="U20" s="1">
        <v>9.3780000000000007E-6</v>
      </c>
      <c r="V20" s="1">
        <v>2.8214999999999998E-9</v>
      </c>
      <c r="Y20" s="1">
        <f t="shared" si="0"/>
        <v>1.3347082150000001E-4</v>
      </c>
      <c r="Z20" s="1">
        <f t="shared" si="1"/>
        <v>0.99996339467800011</v>
      </c>
      <c r="AA20" s="1">
        <f t="shared" si="2"/>
        <v>4.5227408828000004E-11</v>
      </c>
      <c r="AB20">
        <f t="shared" si="3"/>
        <v>6.0367603881473573E-7</v>
      </c>
      <c r="AC20" s="1">
        <f t="shared" si="4"/>
        <v>9.9996373352174714</v>
      </c>
    </row>
    <row r="21" spans="1:30" x14ac:dyDescent="0.25">
      <c r="A21">
        <v>25</v>
      </c>
      <c r="B21" t="s">
        <v>23</v>
      </c>
      <c r="C21">
        <v>5</v>
      </c>
      <c r="D21">
        <v>-99</v>
      </c>
      <c r="E21">
        <v>0</v>
      </c>
      <c r="F21">
        <v>1</v>
      </c>
      <c r="G21">
        <v>7</v>
      </c>
      <c r="H21">
        <v>10.711399999999999</v>
      </c>
      <c r="I21">
        <v>-99</v>
      </c>
      <c r="J21">
        <v>25</v>
      </c>
      <c r="K21" s="1">
        <v>1.22957E-8</v>
      </c>
      <c r="L21">
        <v>0.29242499999999999</v>
      </c>
      <c r="M21">
        <v>0.99999199999999999</v>
      </c>
      <c r="N21">
        <v>-7.00951E-4</v>
      </c>
      <c r="O21">
        <v>-0.119852</v>
      </c>
      <c r="P21" s="1">
        <v>4.9073999999999999E-14</v>
      </c>
      <c r="Q21" s="1">
        <v>2.4288999999999997E-10</v>
      </c>
      <c r="R21" s="1">
        <v>5.6673000000000003E-11</v>
      </c>
      <c r="S21" s="1">
        <v>6.5934999999999996E-16</v>
      </c>
      <c r="T21" s="1">
        <v>2.3790000000000001E-4</v>
      </c>
      <c r="U21" s="1">
        <v>2.9037999999999999E-5</v>
      </c>
      <c r="V21" s="1">
        <v>1.4111E-8</v>
      </c>
      <c r="Y21" s="1">
        <f t="shared" si="0"/>
        <v>2.6695211099999998E-4</v>
      </c>
      <c r="Z21" s="1">
        <f t="shared" si="1"/>
        <v>2.0000052156120001</v>
      </c>
      <c r="AA21" s="1">
        <f t="shared" si="2"/>
        <v>2.9961273334999998E-10</v>
      </c>
      <c r="AB21">
        <f t="shared" si="3"/>
        <v>3.999102153630539E-6</v>
      </c>
      <c r="AC21" s="1">
        <f t="shared" si="4"/>
        <v>20.000074603105986</v>
      </c>
    </row>
    <row r="22" spans="1:30" x14ac:dyDescent="0.25">
      <c r="A22">
        <v>26</v>
      </c>
      <c r="B22" t="s">
        <v>23</v>
      </c>
      <c r="C22">
        <v>6</v>
      </c>
      <c r="D22">
        <v>-99</v>
      </c>
      <c r="E22">
        <v>0</v>
      </c>
      <c r="F22">
        <v>1</v>
      </c>
      <c r="G22">
        <v>7</v>
      </c>
      <c r="H22">
        <v>10.7348</v>
      </c>
      <c r="I22">
        <v>-99</v>
      </c>
      <c r="J22">
        <v>25</v>
      </c>
      <c r="K22" s="1">
        <v>1.34701E-8</v>
      </c>
      <c r="L22">
        <v>0.29235899999999998</v>
      </c>
      <c r="M22">
        <v>0.99999199999999999</v>
      </c>
      <c r="N22">
        <v>-8.3904200000000002E-4</v>
      </c>
      <c r="O22">
        <v>-0.14349600000000001</v>
      </c>
      <c r="P22" s="1">
        <v>2.8695E-13</v>
      </c>
      <c r="Q22" s="1">
        <v>1.4205E-9</v>
      </c>
      <c r="R22" s="1">
        <v>3.3146000000000001E-10</v>
      </c>
      <c r="S22" s="1">
        <v>3.8564000000000001E-15</v>
      </c>
      <c r="T22" s="1">
        <v>3.3169999999999999E-4</v>
      </c>
      <c r="U22" s="1">
        <v>6.8665999999999996E-5</v>
      </c>
      <c r="V22" s="1">
        <v>5.6591E-8</v>
      </c>
      <c r="Y22" s="1">
        <f t="shared" si="0"/>
        <v>4.0042259099999997E-4</v>
      </c>
      <c r="Z22" s="1">
        <f t="shared" si="1"/>
        <v>2.9999660517719997</v>
      </c>
      <c r="AA22" s="1">
        <f t="shared" si="2"/>
        <v>1.7522508064000001E-9</v>
      </c>
      <c r="AB22">
        <f t="shared" si="3"/>
        <v>2.338829159636946E-5</v>
      </c>
      <c r="AC22" s="1">
        <f t="shared" si="4"/>
        <v>29.999791796350415</v>
      </c>
    </row>
    <row r="23" spans="1:30" x14ac:dyDescent="0.25">
      <c r="A23">
        <v>27</v>
      </c>
      <c r="B23" t="s">
        <v>23</v>
      </c>
      <c r="C23">
        <v>7</v>
      </c>
      <c r="D23">
        <v>-99</v>
      </c>
      <c r="E23">
        <v>0</v>
      </c>
      <c r="F23">
        <v>1</v>
      </c>
      <c r="G23">
        <v>7</v>
      </c>
      <c r="H23">
        <v>3.3934000000000002</v>
      </c>
      <c r="I23">
        <v>-99</v>
      </c>
      <c r="J23">
        <v>25</v>
      </c>
      <c r="K23" s="1">
        <v>7.1937500000000005E-8</v>
      </c>
      <c r="L23">
        <v>0.29223399999999999</v>
      </c>
      <c r="M23">
        <v>0.99999199999999999</v>
      </c>
      <c r="N23">
        <v>-1.1007300000000001E-3</v>
      </c>
      <c r="O23">
        <v>-0.188332</v>
      </c>
      <c r="P23" s="1">
        <v>1.209E-11</v>
      </c>
      <c r="Q23" s="1">
        <v>5.9871999999999995E-8</v>
      </c>
      <c r="R23" s="1">
        <v>1.3971E-8</v>
      </c>
      <c r="S23" s="1">
        <v>1.6255E-13</v>
      </c>
      <c r="T23" s="1">
        <v>3.9016000000000002E-4</v>
      </c>
      <c r="U23" s="1">
        <v>2.7635000000000002E-4</v>
      </c>
      <c r="V23" s="1">
        <v>7.7924999999999999E-7</v>
      </c>
      <c r="Y23" s="1">
        <f t="shared" si="0"/>
        <v>6.6728925000000003E-4</v>
      </c>
      <c r="Z23" s="1">
        <f t="shared" si="1"/>
        <v>4.9993310610000012</v>
      </c>
      <c r="AA23" s="1">
        <f t="shared" si="2"/>
        <v>7.3855252549999996E-8</v>
      </c>
      <c r="AB23">
        <f t="shared" si="3"/>
        <v>9.8578820808862795E-4</v>
      </c>
      <c r="AC23" s="1">
        <f t="shared" si="4"/>
        <v>49.998843845521051</v>
      </c>
    </row>
    <row r="24" spans="1:30" x14ac:dyDescent="0.25">
      <c r="A24">
        <v>28</v>
      </c>
      <c r="B24" t="s">
        <v>23</v>
      </c>
      <c r="C24">
        <v>8</v>
      </c>
      <c r="D24">
        <v>-99</v>
      </c>
      <c r="E24">
        <v>0</v>
      </c>
      <c r="F24">
        <v>1</v>
      </c>
      <c r="G24">
        <v>7</v>
      </c>
      <c r="H24">
        <v>4.7996699999999999</v>
      </c>
      <c r="I24">
        <v>-99</v>
      </c>
      <c r="J24">
        <v>25</v>
      </c>
      <c r="K24" s="1">
        <v>4.2770800000000004E-6</v>
      </c>
      <c r="L24">
        <v>0.29212199999999999</v>
      </c>
      <c r="M24">
        <v>0.99999400000000005</v>
      </c>
      <c r="N24">
        <v>-1.3614499999999999E-3</v>
      </c>
      <c r="O24">
        <v>-0.23303199999999999</v>
      </c>
      <c r="P24" s="1">
        <v>8.6064000000000004E-10</v>
      </c>
      <c r="Q24" s="1">
        <v>4.2633000000000003E-6</v>
      </c>
      <c r="R24" s="1">
        <v>9.9485999999999995E-7</v>
      </c>
      <c r="S24" s="1">
        <v>1.1576E-11</v>
      </c>
      <c r="T24" s="1">
        <v>2.3191999999999999E-4</v>
      </c>
      <c r="U24" s="1">
        <v>7.5411E-4</v>
      </c>
      <c r="V24" s="1">
        <v>9.7615999999999998E-6</v>
      </c>
      <c r="Y24" s="1">
        <f t="shared" si="0"/>
        <v>9.9579159999999998E-4</v>
      </c>
      <c r="Z24" s="1">
        <f t="shared" si="1"/>
        <v>7.460470667200001</v>
      </c>
      <c r="AA24" s="1">
        <f t="shared" si="2"/>
        <v>5.2590322159999999E-6</v>
      </c>
      <c r="AB24">
        <f t="shared" si="3"/>
        <v>7.0195304538174047E-2</v>
      </c>
      <c r="AC24" s="1">
        <f t="shared" si="4"/>
        <v>74.998713365622734</v>
      </c>
    </row>
    <row r="25" spans="1:30" x14ac:dyDescent="0.25">
      <c r="A25">
        <v>29</v>
      </c>
      <c r="B25" t="s">
        <v>23</v>
      </c>
      <c r="C25">
        <v>9</v>
      </c>
      <c r="D25">
        <v>-99</v>
      </c>
      <c r="E25">
        <v>0</v>
      </c>
      <c r="F25">
        <v>1</v>
      </c>
      <c r="G25">
        <v>7</v>
      </c>
      <c r="H25">
        <v>5.0071500000000002</v>
      </c>
      <c r="I25">
        <v>-99</v>
      </c>
      <c r="J25">
        <v>25</v>
      </c>
      <c r="K25" s="1">
        <v>6.5585200000000004E-5</v>
      </c>
      <c r="L25">
        <v>0.29219899999999999</v>
      </c>
      <c r="M25">
        <v>0.999996</v>
      </c>
      <c r="N25">
        <v>-1.6095700000000001E-3</v>
      </c>
      <c r="O25">
        <v>-0.27548699999999998</v>
      </c>
      <c r="P25" s="1">
        <v>1.3235000000000001E-8</v>
      </c>
      <c r="Q25" s="1">
        <v>6.5547000000000001E-5</v>
      </c>
      <c r="R25" s="1">
        <v>1.5294999999999998E-5</v>
      </c>
      <c r="S25" s="1">
        <v>1.7796E-10</v>
      </c>
      <c r="T25" s="1">
        <v>1.2374E-4</v>
      </c>
      <c r="U25" s="1">
        <v>1.0918E-3</v>
      </c>
      <c r="V25" s="1">
        <v>3.8350999999999999E-5</v>
      </c>
      <c r="Y25" s="1">
        <f t="shared" si="0"/>
        <v>1.253891E-3</v>
      </c>
      <c r="Z25" s="1">
        <f t="shared" si="1"/>
        <v>9.3941513719999996</v>
      </c>
      <c r="AA25" s="1">
        <f t="shared" si="2"/>
        <v>8.0855412959999988E-5</v>
      </c>
      <c r="AB25">
        <f t="shared" si="3"/>
        <v>1.0792233443673249</v>
      </c>
      <c r="AC25" s="1">
        <f t="shared" si="4"/>
        <v>99.999201258963211</v>
      </c>
    </row>
    <row r="26" spans="1:30" x14ac:dyDescent="0.25">
      <c r="A26">
        <v>30</v>
      </c>
      <c r="B26" t="s">
        <v>23</v>
      </c>
      <c r="C26">
        <v>10</v>
      </c>
      <c r="D26">
        <v>-99</v>
      </c>
      <c r="E26">
        <v>0</v>
      </c>
      <c r="F26">
        <v>1</v>
      </c>
      <c r="G26">
        <v>7</v>
      </c>
      <c r="H26">
        <v>5.5328999999999997</v>
      </c>
      <c r="I26">
        <v>-99</v>
      </c>
      <c r="J26">
        <v>25</v>
      </c>
      <c r="K26">
        <v>4.3794599999999998E-4</v>
      </c>
      <c r="L26">
        <v>0.292962</v>
      </c>
      <c r="M26">
        <v>0.99999899999999997</v>
      </c>
      <c r="N26">
        <v>-2.49855E-3</v>
      </c>
      <c r="O26">
        <v>-0.42706699999999997</v>
      </c>
      <c r="P26" s="1">
        <v>8.8581000000000004E-8</v>
      </c>
      <c r="Q26" s="1">
        <v>4.3775999999999998E-4</v>
      </c>
      <c r="R26" s="1">
        <v>1.0213E-4</v>
      </c>
      <c r="S26" s="1">
        <v>1.1879E-9</v>
      </c>
      <c r="T26" s="1">
        <v>7.8974999999999995E-5</v>
      </c>
      <c r="U26" s="1">
        <v>1.2982E-3</v>
      </c>
      <c r="V26" s="1">
        <v>8.4955000000000002E-5</v>
      </c>
      <c r="Y26" s="1">
        <f t="shared" si="0"/>
        <v>1.4621300000000001E-3</v>
      </c>
      <c r="Z26" s="1">
        <f t="shared" si="1"/>
        <v>10.954277960000002</v>
      </c>
      <c r="AA26" s="1">
        <f t="shared" si="2"/>
        <v>5.3997976889999999E-4</v>
      </c>
      <c r="AB26">
        <f t="shared" si="3"/>
        <v>7.2074181647090221</v>
      </c>
      <c r="AC26" s="1">
        <f t="shared" si="4"/>
        <v>149.99806388598799</v>
      </c>
    </row>
    <row r="27" spans="1:30" x14ac:dyDescent="0.25">
      <c r="A27">
        <v>31</v>
      </c>
      <c r="B27" t="s">
        <v>23</v>
      </c>
      <c r="C27">
        <v>11</v>
      </c>
      <c r="D27">
        <v>-99</v>
      </c>
      <c r="E27">
        <v>0</v>
      </c>
      <c r="F27">
        <v>1</v>
      </c>
      <c r="G27">
        <v>7</v>
      </c>
      <c r="H27">
        <v>5.5659299999999998</v>
      </c>
      <c r="I27">
        <v>-99</v>
      </c>
      <c r="J27">
        <v>25</v>
      </c>
      <c r="K27">
        <v>9.1309599999999996E-4</v>
      </c>
      <c r="L27">
        <v>0.293962</v>
      </c>
      <c r="M27">
        <v>1</v>
      </c>
      <c r="N27">
        <v>-3.5806100000000001E-3</v>
      </c>
      <c r="O27">
        <v>-0.61092500000000005</v>
      </c>
      <c r="P27" s="1">
        <v>1.8521E-7</v>
      </c>
      <c r="Q27" s="1">
        <v>9.1272E-4</v>
      </c>
      <c r="R27" s="1">
        <v>2.1285999999999999E-4</v>
      </c>
      <c r="S27" s="1">
        <v>2.4751999999999999E-9</v>
      </c>
      <c r="T27" s="1">
        <v>6.7994E-5</v>
      </c>
      <c r="U27" s="1">
        <v>1.3664E-3</v>
      </c>
      <c r="V27" s="1">
        <v>1.0931E-4</v>
      </c>
      <c r="Y27" s="1">
        <f t="shared" si="0"/>
        <v>1.5437040000000001E-3</v>
      </c>
      <c r="Z27" s="1">
        <f t="shared" si="1"/>
        <v>11.565430368000001</v>
      </c>
      <c r="AA27" s="1">
        <f t="shared" si="2"/>
        <v>1.1257676852E-3</v>
      </c>
      <c r="AB27">
        <f t="shared" si="3"/>
        <v>15.026263817405232</v>
      </c>
      <c r="AC27" s="1">
        <f t="shared" si="4"/>
        <v>199.996818655184</v>
      </c>
    </row>
    <row r="28" spans="1:30" x14ac:dyDescent="0.25">
      <c r="A28">
        <v>32</v>
      </c>
      <c r="B28" t="s">
        <v>23</v>
      </c>
      <c r="C28">
        <v>12</v>
      </c>
      <c r="D28">
        <v>-99</v>
      </c>
      <c r="E28">
        <v>0</v>
      </c>
      <c r="F28">
        <v>1</v>
      </c>
      <c r="G28">
        <v>7</v>
      </c>
      <c r="H28">
        <v>5.8572199999999999</v>
      </c>
      <c r="I28">
        <v>-99</v>
      </c>
      <c r="J28">
        <v>25</v>
      </c>
      <c r="K28">
        <v>1.93333E-3</v>
      </c>
      <c r="L28">
        <v>0.29612100000000002</v>
      </c>
      <c r="M28">
        <v>1</v>
      </c>
      <c r="N28">
        <v>-5.8787500000000003E-3</v>
      </c>
      <c r="O28">
        <v>-0.99915100000000001</v>
      </c>
      <c r="P28" s="1">
        <v>3.9455E-7</v>
      </c>
      <c r="Q28" s="1">
        <v>1.9325E-3</v>
      </c>
      <c r="R28" s="1">
        <v>4.5040999999999999E-4</v>
      </c>
      <c r="S28" s="1">
        <v>5.2337999999999999E-9</v>
      </c>
      <c r="T28" s="1">
        <v>5.9922E-5</v>
      </c>
      <c r="U28" s="1">
        <v>1.4258000000000001E-3</v>
      </c>
      <c r="V28" s="1">
        <v>1.3506999999999999E-4</v>
      </c>
      <c r="Y28" s="1">
        <f t="shared" si="0"/>
        <v>1.620792E-3</v>
      </c>
      <c r="Z28" s="1">
        <f t="shared" si="1"/>
        <v>12.142973663999999</v>
      </c>
      <c r="AA28" s="1">
        <f t="shared" si="2"/>
        <v>2.3833097838000003E-3</v>
      </c>
      <c r="AB28">
        <f t="shared" si="3"/>
        <v>31.811395939668984</v>
      </c>
      <c r="AC28" s="1">
        <f t="shared" si="4"/>
        <v>299.98730564229601</v>
      </c>
    </row>
    <row r="29" spans="1:30" x14ac:dyDescent="0.25">
      <c r="A29">
        <v>33</v>
      </c>
      <c r="B29" t="s">
        <v>23</v>
      </c>
      <c r="C29">
        <v>13</v>
      </c>
      <c r="D29">
        <v>-99</v>
      </c>
      <c r="E29">
        <v>0</v>
      </c>
      <c r="F29">
        <v>1</v>
      </c>
      <c r="G29">
        <v>7</v>
      </c>
      <c r="H29">
        <v>5.7860500000000004</v>
      </c>
      <c r="I29">
        <v>-99</v>
      </c>
      <c r="J29">
        <v>25</v>
      </c>
      <c r="K29">
        <v>2.9844899999999998E-3</v>
      </c>
      <c r="L29">
        <v>0.29835</v>
      </c>
      <c r="M29">
        <v>1</v>
      </c>
      <c r="N29">
        <v>-8.2356400000000007E-3</v>
      </c>
      <c r="O29">
        <v>-1.39415</v>
      </c>
      <c r="P29" s="1">
        <v>6.1289000000000003E-7</v>
      </c>
      <c r="Q29" s="1">
        <v>2.9832999999999999E-3</v>
      </c>
      <c r="R29" s="1">
        <v>6.9483999999999995E-4</v>
      </c>
      <c r="S29" s="1">
        <v>8.0681000000000003E-9</v>
      </c>
      <c r="T29" s="1">
        <v>5.6588000000000001E-5</v>
      </c>
      <c r="U29" s="1">
        <v>1.4547E-3</v>
      </c>
      <c r="V29" s="1">
        <v>1.4888E-4</v>
      </c>
      <c r="Y29" s="1">
        <f t="shared" si="0"/>
        <v>1.6601680000000001E-3</v>
      </c>
      <c r="Z29" s="1">
        <f t="shared" si="1"/>
        <v>12.437978656000002</v>
      </c>
      <c r="AA29" s="1">
        <f t="shared" si="2"/>
        <v>3.6787609581E-3</v>
      </c>
      <c r="AB29">
        <f t="shared" si="3"/>
        <v>49.102522131607046</v>
      </c>
      <c r="AC29" s="1">
        <f t="shared" si="4"/>
        <v>399.99255754085198</v>
      </c>
    </row>
    <row r="30" spans="1:30" x14ac:dyDescent="0.25">
      <c r="A30">
        <v>34</v>
      </c>
      <c r="B30" t="s">
        <v>23</v>
      </c>
      <c r="C30">
        <v>14</v>
      </c>
      <c r="D30">
        <v>-99</v>
      </c>
      <c r="E30">
        <v>0</v>
      </c>
      <c r="F30">
        <v>1</v>
      </c>
      <c r="G30">
        <v>7</v>
      </c>
      <c r="H30">
        <v>5.7441199999999997</v>
      </c>
      <c r="I30">
        <v>-99</v>
      </c>
      <c r="J30">
        <v>25</v>
      </c>
      <c r="K30">
        <v>4.04792E-3</v>
      </c>
      <c r="L30">
        <v>0.30060700000000001</v>
      </c>
      <c r="M30">
        <v>1</v>
      </c>
      <c r="N30">
        <v>-1.06155E-2</v>
      </c>
      <c r="O30">
        <v>-1.78979</v>
      </c>
      <c r="P30" s="1">
        <v>8.3654E-7</v>
      </c>
      <c r="Q30" s="1">
        <v>4.0461999999999998E-3</v>
      </c>
      <c r="R30" s="1">
        <v>9.4180999999999996E-4</v>
      </c>
      <c r="S30" s="1">
        <v>1.0928E-8</v>
      </c>
      <c r="T30" s="1">
        <v>5.4805000000000001E-5</v>
      </c>
      <c r="U30" s="1">
        <v>1.4724E-3</v>
      </c>
      <c r="V30" s="1">
        <v>1.5749000000000001E-4</v>
      </c>
      <c r="Y30" s="1">
        <f t="shared" si="0"/>
        <v>1.6846949999999999E-3</v>
      </c>
      <c r="Z30" s="1">
        <f t="shared" si="1"/>
        <v>12.62173494</v>
      </c>
      <c r="AA30" s="1">
        <f t="shared" si="2"/>
        <v>4.9888574679999992E-3</v>
      </c>
      <c r="AB30">
        <f t="shared" si="3"/>
        <v>66.589127976508266</v>
      </c>
      <c r="AC30" s="1">
        <f t="shared" si="4"/>
        <v>499.98255090255992</v>
      </c>
    </row>
    <row r="31" spans="1:30" x14ac:dyDescent="0.25">
      <c r="A31">
        <v>35</v>
      </c>
      <c r="B31" t="s">
        <v>23</v>
      </c>
      <c r="C31">
        <v>15</v>
      </c>
      <c r="D31">
        <v>-99</v>
      </c>
      <c r="E31">
        <v>0</v>
      </c>
      <c r="F31">
        <v>1</v>
      </c>
      <c r="G31">
        <v>7</v>
      </c>
      <c r="H31">
        <v>10.945499999999999</v>
      </c>
      <c r="I31">
        <v>-99</v>
      </c>
      <c r="J31">
        <v>25</v>
      </c>
      <c r="K31">
        <v>6.1914700000000001E-3</v>
      </c>
      <c r="L31">
        <v>0.30515900000000001</v>
      </c>
      <c r="M31">
        <v>1</v>
      </c>
      <c r="N31">
        <v>-1.5406E-2</v>
      </c>
      <c r="O31">
        <v>-2.5765500000000001</v>
      </c>
      <c r="P31" s="1">
        <v>1.2957999999999999E-6</v>
      </c>
      <c r="Q31" s="1">
        <v>6.1888999999999998E-3</v>
      </c>
      <c r="R31" s="1">
        <v>1.4387E-3</v>
      </c>
      <c r="S31" s="1">
        <v>1.6668999999999999E-8</v>
      </c>
      <c r="T31" s="1">
        <v>5.3069999999999998E-5</v>
      </c>
      <c r="U31" s="1">
        <v>1.4936999999999999E-3</v>
      </c>
      <c r="V31" s="1">
        <v>1.6736999999999999E-4</v>
      </c>
      <c r="Y31" s="1">
        <f t="shared" si="0"/>
        <v>1.7141399999999998E-3</v>
      </c>
      <c r="Z31" s="1">
        <f t="shared" si="1"/>
        <v>12.84233688</v>
      </c>
      <c r="AA31" s="1">
        <f t="shared" si="2"/>
        <v>7.6289124690000001E-3</v>
      </c>
      <c r="AB31">
        <f t="shared" si="3"/>
        <v>101.82744886545649</v>
      </c>
      <c r="AC31" s="1">
        <f t="shared" si="4"/>
        <v>699.98149097748001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Views>
    <sheetView topLeftCell="O13" workbookViewId="0">
      <selection sqref="A1:V31"/>
    </sheetView>
  </sheetViews>
  <sheetFormatPr defaultRowHeight="15" x14ac:dyDescent="0.25"/>
  <cols>
    <col min="26" max="26" width="13.7109375" customWidth="1"/>
    <col min="28" max="28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24</v>
      </c>
      <c r="Z1" t="s">
        <v>27</v>
      </c>
      <c r="AA1" t="s">
        <v>25</v>
      </c>
      <c r="AB1" t="s">
        <v>26</v>
      </c>
      <c r="AC1" t="s">
        <v>28</v>
      </c>
    </row>
    <row r="2" spans="1:29" x14ac:dyDescent="0.25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7</v>
      </c>
      <c r="H2">
        <v>4</v>
      </c>
      <c r="I2">
        <v>-99</v>
      </c>
      <c r="J2">
        <v>25</v>
      </c>
      <c r="K2" s="1">
        <v>1.6132300000000001E-8</v>
      </c>
      <c r="L2">
        <v>0.48204200000000003</v>
      </c>
      <c r="M2">
        <v>1</v>
      </c>
      <c r="N2" s="1">
        <v>-1.6082600000000001E-8</v>
      </c>
      <c r="O2" s="1">
        <v>-1.6681800000000001E-6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Y2" s="1"/>
      <c r="Z2" s="1"/>
    </row>
    <row r="3" spans="1:29" x14ac:dyDescent="0.25">
      <c r="A3">
        <v>6</v>
      </c>
      <c r="B3" t="s">
        <v>22</v>
      </c>
      <c r="C3">
        <v>2</v>
      </c>
      <c r="D3">
        <v>-99</v>
      </c>
      <c r="E3">
        <v>-99</v>
      </c>
      <c r="F3">
        <v>-99</v>
      </c>
      <c r="G3">
        <v>7</v>
      </c>
      <c r="H3">
        <v>4</v>
      </c>
      <c r="I3">
        <v>-99</v>
      </c>
      <c r="J3">
        <v>25</v>
      </c>
      <c r="K3" s="1">
        <v>1.1001399999999999E-6</v>
      </c>
      <c r="L3">
        <v>0.48204399999999997</v>
      </c>
      <c r="M3">
        <v>1</v>
      </c>
      <c r="N3" s="1">
        <v>-2.4348200000000001E-6</v>
      </c>
      <c r="O3">
        <v>-2.5255299999999998E-4</v>
      </c>
      <c r="P3" s="1">
        <v>3.5022000000000001E-10</v>
      </c>
      <c r="Q3" s="1">
        <v>1.0833000000000001E-6</v>
      </c>
      <c r="R3" s="1">
        <v>2.5106000000000003E-7</v>
      </c>
      <c r="S3" s="1">
        <v>2.7898000000000001E-12</v>
      </c>
      <c r="T3" s="1">
        <v>0</v>
      </c>
      <c r="U3" s="1">
        <v>0</v>
      </c>
      <c r="V3" s="1">
        <v>0</v>
      </c>
      <c r="Y3" s="1"/>
      <c r="Z3" s="1"/>
    </row>
    <row r="4" spans="1:29" x14ac:dyDescent="0.25">
      <c r="A4">
        <v>7</v>
      </c>
      <c r="B4" t="s">
        <v>22</v>
      </c>
      <c r="C4">
        <v>3</v>
      </c>
      <c r="D4">
        <v>-99</v>
      </c>
      <c r="E4">
        <v>-99</v>
      </c>
      <c r="F4">
        <v>-99</v>
      </c>
      <c r="G4">
        <v>7</v>
      </c>
      <c r="H4">
        <v>4</v>
      </c>
      <c r="I4">
        <v>-99</v>
      </c>
      <c r="J4">
        <v>25</v>
      </c>
      <c r="K4" s="1">
        <v>1.0856199999999999E-5</v>
      </c>
      <c r="L4">
        <v>0.48206500000000002</v>
      </c>
      <c r="M4">
        <v>1</v>
      </c>
      <c r="N4" s="1">
        <v>-2.42035E-5</v>
      </c>
      <c r="O4">
        <v>-2.5104599999999999E-3</v>
      </c>
      <c r="P4" s="1">
        <v>3.5023999999999998E-9</v>
      </c>
      <c r="Q4" s="1">
        <v>1.0832999999999999E-5</v>
      </c>
      <c r="R4" s="1">
        <v>2.5106000000000002E-6</v>
      </c>
      <c r="S4" s="1">
        <v>2.7898000000000001E-11</v>
      </c>
      <c r="T4" s="1">
        <v>0</v>
      </c>
      <c r="U4" s="1">
        <v>0</v>
      </c>
      <c r="V4" s="1">
        <v>0</v>
      </c>
      <c r="Y4" s="1"/>
      <c r="Z4" s="1"/>
    </row>
    <row r="5" spans="1:29" x14ac:dyDescent="0.25">
      <c r="A5">
        <v>8</v>
      </c>
      <c r="B5" t="s">
        <v>22</v>
      </c>
      <c r="C5">
        <v>4</v>
      </c>
      <c r="D5">
        <v>-99</v>
      </c>
      <c r="E5">
        <v>-99</v>
      </c>
      <c r="F5">
        <v>-99</v>
      </c>
      <c r="G5">
        <v>7</v>
      </c>
      <c r="H5">
        <v>4</v>
      </c>
      <c r="I5">
        <v>-99</v>
      </c>
      <c r="J5">
        <v>25</v>
      </c>
      <c r="K5">
        <v>1.08417E-4</v>
      </c>
      <c r="L5">
        <v>0.48227199999999998</v>
      </c>
      <c r="M5">
        <v>1</v>
      </c>
      <c r="N5">
        <v>-2.4188899999999999E-4</v>
      </c>
      <c r="O5">
        <v>-2.50837E-2</v>
      </c>
      <c r="P5" s="1">
        <v>3.5040000000000001E-8</v>
      </c>
      <c r="Q5" s="1">
        <v>1.0833E-4</v>
      </c>
      <c r="R5" s="1">
        <v>2.5106999999999999E-5</v>
      </c>
      <c r="S5" s="1">
        <v>2.7898E-10</v>
      </c>
      <c r="T5" s="1">
        <v>0</v>
      </c>
      <c r="U5" s="1">
        <v>0</v>
      </c>
      <c r="V5" s="1">
        <v>0</v>
      </c>
      <c r="Y5" s="1"/>
      <c r="Z5" s="1"/>
    </row>
    <row r="6" spans="1:29" x14ac:dyDescent="0.25">
      <c r="A6">
        <v>9</v>
      </c>
      <c r="B6" t="s">
        <v>22</v>
      </c>
      <c r="C6">
        <v>5</v>
      </c>
      <c r="D6">
        <v>-99</v>
      </c>
      <c r="E6">
        <v>-99</v>
      </c>
      <c r="F6">
        <v>-99</v>
      </c>
      <c r="G6">
        <v>7</v>
      </c>
      <c r="H6">
        <v>4</v>
      </c>
      <c r="I6">
        <v>-99</v>
      </c>
      <c r="J6">
        <v>25</v>
      </c>
      <c r="K6">
        <v>2.16815E-4</v>
      </c>
      <c r="L6">
        <v>0.48250300000000002</v>
      </c>
      <c r="M6">
        <v>1</v>
      </c>
      <c r="N6">
        <v>-4.8376099999999998E-4</v>
      </c>
      <c r="O6">
        <v>-5.01529E-2</v>
      </c>
      <c r="P6" s="1">
        <v>7.0114000000000002E-8</v>
      </c>
      <c r="Q6" s="1">
        <v>2.1666E-4</v>
      </c>
      <c r="R6" s="1">
        <v>5.0214999999999999E-5</v>
      </c>
      <c r="S6" s="1">
        <v>5.5796E-10</v>
      </c>
      <c r="T6" s="1">
        <v>0</v>
      </c>
      <c r="U6" s="1">
        <v>0</v>
      </c>
      <c r="V6" s="1">
        <v>0</v>
      </c>
      <c r="Y6" s="1"/>
      <c r="Z6" s="1"/>
    </row>
    <row r="7" spans="1:29" x14ac:dyDescent="0.25">
      <c r="A7">
        <v>10</v>
      </c>
      <c r="B7" t="s">
        <v>22</v>
      </c>
      <c r="C7">
        <v>6</v>
      </c>
      <c r="D7">
        <v>-99</v>
      </c>
      <c r="E7">
        <v>-99</v>
      </c>
      <c r="F7">
        <v>-99</v>
      </c>
      <c r="G7">
        <v>7</v>
      </c>
      <c r="H7">
        <v>4</v>
      </c>
      <c r="I7">
        <v>-99</v>
      </c>
      <c r="J7">
        <v>25</v>
      </c>
      <c r="K7">
        <v>3.2521299999999998E-4</v>
      </c>
      <c r="L7">
        <v>0.482734</v>
      </c>
      <c r="M7">
        <v>1</v>
      </c>
      <c r="N7">
        <v>-7.2563100000000002E-4</v>
      </c>
      <c r="O7">
        <v>-7.5209200000000004E-2</v>
      </c>
      <c r="P7" s="1">
        <v>1.0522E-7</v>
      </c>
      <c r="Q7" s="1">
        <v>3.2498999999999999E-4</v>
      </c>
      <c r="R7" s="1">
        <v>7.5326000000000004E-5</v>
      </c>
      <c r="S7" s="1">
        <v>8.3693000000000002E-10</v>
      </c>
      <c r="T7" s="1">
        <v>0</v>
      </c>
      <c r="U7" s="1">
        <v>0</v>
      </c>
      <c r="V7" s="1">
        <v>0</v>
      </c>
      <c r="Y7" s="1"/>
      <c r="Z7" s="1"/>
    </row>
    <row r="8" spans="1:29" x14ac:dyDescent="0.25">
      <c r="A8">
        <v>11</v>
      </c>
      <c r="B8" t="s">
        <v>22</v>
      </c>
      <c r="C8">
        <v>7</v>
      </c>
      <c r="D8">
        <v>-99</v>
      </c>
      <c r="E8">
        <v>-99</v>
      </c>
      <c r="F8">
        <v>-99</v>
      </c>
      <c r="G8">
        <v>7</v>
      </c>
      <c r="H8">
        <v>4</v>
      </c>
      <c r="I8">
        <v>-99</v>
      </c>
      <c r="J8">
        <v>25</v>
      </c>
      <c r="K8">
        <v>5.4200199999999998E-4</v>
      </c>
      <c r="L8">
        <v>0.48319499999999999</v>
      </c>
      <c r="M8">
        <v>1</v>
      </c>
      <c r="N8">
        <v>-1.20937E-3</v>
      </c>
      <c r="O8">
        <v>-0.12528300000000001</v>
      </c>
      <c r="P8" s="1">
        <v>1.7555000000000001E-7</v>
      </c>
      <c r="Q8" s="1">
        <v>5.4164000000000003E-4</v>
      </c>
      <c r="R8" s="1">
        <v>1.2554999999999999E-4</v>
      </c>
      <c r="S8" s="1">
        <v>1.3949E-9</v>
      </c>
      <c r="T8" s="1">
        <v>0</v>
      </c>
      <c r="U8" s="1">
        <v>0</v>
      </c>
      <c r="V8" s="1">
        <v>0</v>
      </c>
      <c r="Y8" s="1"/>
      <c r="Z8" s="1"/>
    </row>
    <row r="9" spans="1:29" x14ac:dyDescent="0.25">
      <c r="A9">
        <v>12</v>
      </c>
      <c r="B9" t="s">
        <v>22</v>
      </c>
      <c r="C9">
        <v>8</v>
      </c>
      <c r="D9">
        <v>-99</v>
      </c>
      <c r="E9">
        <v>-99</v>
      </c>
      <c r="F9">
        <v>-99</v>
      </c>
      <c r="G9">
        <v>7</v>
      </c>
      <c r="H9">
        <v>4</v>
      </c>
      <c r="I9">
        <v>-99</v>
      </c>
      <c r="J9">
        <v>25</v>
      </c>
      <c r="K9">
        <v>8.1298099999999995E-4</v>
      </c>
      <c r="L9">
        <v>0.48377199999999998</v>
      </c>
      <c r="M9">
        <v>1</v>
      </c>
      <c r="N9">
        <v>-1.8140299999999999E-3</v>
      </c>
      <c r="O9">
        <v>-0.187804</v>
      </c>
      <c r="P9" s="1">
        <v>2.6366000000000002E-7</v>
      </c>
      <c r="Q9" s="1">
        <v>8.1243999999999999E-4</v>
      </c>
      <c r="R9" s="1">
        <v>1.8834E-4</v>
      </c>
      <c r="S9" s="1">
        <v>2.0922999999999999E-9</v>
      </c>
      <c r="T9" s="1">
        <v>0</v>
      </c>
      <c r="U9" s="1">
        <v>0</v>
      </c>
      <c r="V9" s="1">
        <v>0</v>
      </c>
      <c r="Y9" s="1"/>
      <c r="Z9" s="1"/>
    </row>
    <row r="10" spans="1:29" x14ac:dyDescent="0.25">
      <c r="A10">
        <v>13</v>
      </c>
      <c r="B10" t="s">
        <v>22</v>
      </c>
      <c r="C10">
        <v>9</v>
      </c>
      <c r="D10">
        <v>-99</v>
      </c>
      <c r="E10">
        <v>-99</v>
      </c>
      <c r="F10">
        <v>-99</v>
      </c>
      <c r="G10">
        <v>7</v>
      </c>
      <c r="H10">
        <v>4</v>
      </c>
      <c r="I10">
        <v>-99</v>
      </c>
      <c r="J10">
        <v>25</v>
      </c>
      <c r="K10">
        <v>1.08395E-3</v>
      </c>
      <c r="L10">
        <v>0.484348</v>
      </c>
      <c r="M10">
        <v>1</v>
      </c>
      <c r="N10">
        <v>-2.4186799999999999E-3</v>
      </c>
      <c r="O10">
        <v>-0.25024400000000002</v>
      </c>
      <c r="P10" s="1">
        <v>3.5199000000000002E-7</v>
      </c>
      <c r="Q10" s="1">
        <v>1.0832000000000001E-3</v>
      </c>
      <c r="R10" s="1">
        <v>2.5114000000000001E-4</v>
      </c>
      <c r="S10" s="1">
        <v>2.7896E-9</v>
      </c>
      <c r="T10" s="1">
        <v>0</v>
      </c>
      <c r="U10" s="1">
        <v>0</v>
      </c>
      <c r="V10" s="1">
        <v>0</v>
      </c>
      <c r="Y10" s="1"/>
      <c r="Z10" s="1"/>
    </row>
    <row r="11" spans="1:29" x14ac:dyDescent="0.25">
      <c r="A11">
        <v>14</v>
      </c>
      <c r="B11" t="s">
        <v>22</v>
      </c>
      <c r="C11">
        <v>10</v>
      </c>
      <c r="D11">
        <v>-99</v>
      </c>
      <c r="E11">
        <v>-99</v>
      </c>
      <c r="F11">
        <v>-99</v>
      </c>
      <c r="G11">
        <v>7</v>
      </c>
      <c r="H11">
        <v>4</v>
      </c>
      <c r="I11">
        <v>-99</v>
      </c>
      <c r="J11">
        <v>25</v>
      </c>
      <c r="K11">
        <v>1.6258500000000001E-3</v>
      </c>
      <c r="L11">
        <v>0.48550100000000002</v>
      </c>
      <c r="M11">
        <v>1</v>
      </c>
      <c r="N11">
        <v>-3.62795E-3</v>
      </c>
      <c r="O11">
        <v>-0.37488500000000002</v>
      </c>
      <c r="P11" s="1">
        <v>5.2931000000000002E-7</v>
      </c>
      <c r="Q11" s="1">
        <v>1.6248E-3</v>
      </c>
      <c r="R11" s="1">
        <v>3.7678000000000001E-4</v>
      </c>
      <c r="S11" s="1">
        <v>4.1843000000000001E-9</v>
      </c>
      <c r="T11" s="1">
        <v>0</v>
      </c>
      <c r="U11" s="1">
        <v>0</v>
      </c>
      <c r="V11" s="1">
        <v>0</v>
      </c>
      <c r="Y11" s="1"/>
      <c r="Z11" s="1"/>
    </row>
    <row r="12" spans="1:29" x14ac:dyDescent="0.25">
      <c r="A12">
        <v>15</v>
      </c>
      <c r="B12" t="s">
        <v>22</v>
      </c>
      <c r="C12">
        <v>11</v>
      </c>
      <c r="D12">
        <v>-99</v>
      </c>
      <c r="E12">
        <v>-99</v>
      </c>
      <c r="F12">
        <v>-99</v>
      </c>
      <c r="G12">
        <v>7</v>
      </c>
      <c r="H12">
        <v>4</v>
      </c>
      <c r="I12">
        <v>-99</v>
      </c>
      <c r="J12">
        <v>25</v>
      </c>
      <c r="K12">
        <v>2.1677200000000002E-3</v>
      </c>
      <c r="L12">
        <v>0.486655</v>
      </c>
      <c r="M12">
        <v>1</v>
      </c>
      <c r="N12">
        <v>-4.83717E-3</v>
      </c>
      <c r="O12">
        <v>-0.49920700000000001</v>
      </c>
      <c r="P12" s="1">
        <v>7.0752999999999998E-7</v>
      </c>
      <c r="Q12" s="1">
        <v>2.1662999999999999E-3</v>
      </c>
      <c r="R12" s="1">
        <v>5.0244999999999999E-4</v>
      </c>
      <c r="S12" s="1">
        <v>5.5789000000000002E-9</v>
      </c>
      <c r="T12" s="1">
        <v>0</v>
      </c>
      <c r="U12" s="1">
        <v>0</v>
      </c>
      <c r="V12" s="1">
        <v>0</v>
      </c>
      <c r="Y12" s="1"/>
      <c r="Z12" s="1"/>
    </row>
    <row r="13" spans="1:29" x14ac:dyDescent="0.25">
      <c r="A13">
        <v>16</v>
      </c>
      <c r="B13" t="s">
        <v>22</v>
      </c>
      <c r="C13">
        <v>12</v>
      </c>
      <c r="D13">
        <v>-99</v>
      </c>
      <c r="E13">
        <v>-99</v>
      </c>
      <c r="F13">
        <v>-99</v>
      </c>
      <c r="G13">
        <v>7</v>
      </c>
      <c r="H13">
        <v>4</v>
      </c>
      <c r="I13">
        <v>-99</v>
      </c>
      <c r="J13">
        <v>25</v>
      </c>
      <c r="K13">
        <v>3.2513199999999998E-3</v>
      </c>
      <c r="L13">
        <v>0.48896099999999998</v>
      </c>
      <c r="M13">
        <v>1</v>
      </c>
      <c r="N13">
        <v>-7.2554999999999998E-3</v>
      </c>
      <c r="O13">
        <v>-0.74689899999999998</v>
      </c>
      <c r="P13" s="1">
        <v>1.0666000000000001E-6</v>
      </c>
      <c r="Q13" s="1">
        <v>3.2491999999999998E-3</v>
      </c>
      <c r="R13" s="1">
        <v>7.5394000000000004E-4</v>
      </c>
      <c r="S13" s="1">
        <v>8.3679999999999992E-9</v>
      </c>
      <c r="T13" s="1">
        <v>0</v>
      </c>
      <c r="U13" s="1">
        <v>0</v>
      </c>
      <c r="V13" s="1">
        <v>0</v>
      </c>
      <c r="Y13" s="1"/>
      <c r="Z13" s="1"/>
    </row>
    <row r="14" spans="1:29" x14ac:dyDescent="0.25">
      <c r="A14">
        <v>17</v>
      </c>
      <c r="B14" t="s">
        <v>22</v>
      </c>
      <c r="C14">
        <v>13</v>
      </c>
      <c r="D14">
        <v>-99</v>
      </c>
      <c r="E14">
        <v>-99</v>
      </c>
      <c r="F14">
        <v>-99</v>
      </c>
      <c r="G14">
        <v>7</v>
      </c>
      <c r="H14">
        <v>4</v>
      </c>
      <c r="I14">
        <v>-99</v>
      </c>
      <c r="J14">
        <v>25</v>
      </c>
      <c r="K14">
        <v>4.3347400000000001E-3</v>
      </c>
      <c r="L14">
        <v>0.49126599999999998</v>
      </c>
      <c r="M14">
        <v>1</v>
      </c>
      <c r="N14">
        <v>-9.6736500000000007E-3</v>
      </c>
      <c r="O14">
        <v>-0.99333099999999996</v>
      </c>
      <c r="P14" s="1">
        <v>1.4293E-6</v>
      </c>
      <c r="Q14" s="1">
        <v>4.3318999999999996E-3</v>
      </c>
      <c r="R14" s="1">
        <v>1.0055999999999999E-3</v>
      </c>
      <c r="S14" s="1">
        <v>1.1157E-8</v>
      </c>
      <c r="T14" s="1">
        <v>0</v>
      </c>
      <c r="U14" s="1">
        <v>0</v>
      </c>
      <c r="V14" s="1">
        <v>0</v>
      </c>
      <c r="Y14" s="1"/>
      <c r="Z14" s="1"/>
    </row>
    <row r="15" spans="1:29" x14ac:dyDescent="0.25">
      <c r="A15">
        <v>18</v>
      </c>
      <c r="B15" t="s">
        <v>22</v>
      </c>
      <c r="C15">
        <v>14</v>
      </c>
      <c r="D15">
        <v>-99</v>
      </c>
      <c r="E15">
        <v>-99</v>
      </c>
      <c r="F15">
        <v>-99</v>
      </c>
      <c r="G15">
        <v>7</v>
      </c>
      <c r="H15">
        <v>4</v>
      </c>
      <c r="I15">
        <v>-99</v>
      </c>
      <c r="J15">
        <v>25</v>
      </c>
      <c r="K15">
        <v>5.4179800000000002E-3</v>
      </c>
      <c r="L15">
        <v>0.49357200000000001</v>
      </c>
      <c r="M15">
        <v>1</v>
      </c>
      <c r="N15">
        <v>-1.2091599999999999E-2</v>
      </c>
      <c r="O15">
        <v>-1.23851</v>
      </c>
      <c r="P15" s="1">
        <v>1.7956E-6</v>
      </c>
      <c r="Q15" s="1">
        <v>5.4143999999999998E-3</v>
      </c>
      <c r="R15" s="1">
        <v>1.2574000000000001E-3</v>
      </c>
      <c r="S15" s="1">
        <v>1.3946E-8</v>
      </c>
      <c r="T15" s="1">
        <v>0</v>
      </c>
      <c r="U15" s="1">
        <v>0</v>
      </c>
      <c r="V15" s="1">
        <v>0</v>
      </c>
      <c r="Y15" s="1"/>
      <c r="Z15" s="1"/>
    </row>
    <row r="16" spans="1:29" x14ac:dyDescent="0.25">
      <c r="A16">
        <v>19</v>
      </c>
      <c r="B16" t="s">
        <v>22</v>
      </c>
      <c r="C16">
        <v>15</v>
      </c>
      <c r="D16">
        <v>-99</v>
      </c>
      <c r="E16">
        <v>-99</v>
      </c>
      <c r="F16">
        <v>-99</v>
      </c>
      <c r="G16">
        <v>7</v>
      </c>
      <c r="H16">
        <v>4</v>
      </c>
      <c r="I16">
        <v>-99</v>
      </c>
      <c r="J16">
        <v>25</v>
      </c>
      <c r="K16">
        <v>7.5839100000000001E-3</v>
      </c>
      <c r="L16">
        <v>0.49818099999999998</v>
      </c>
      <c r="M16">
        <v>1</v>
      </c>
      <c r="N16">
        <v>-1.6927000000000001E-2</v>
      </c>
      <c r="O16">
        <v>-1.72515</v>
      </c>
      <c r="P16" s="1">
        <v>2.5389E-6</v>
      </c>
      <c r="Q16" s="1">
        <v>7.5788000000000001E-3</v>
      </c>
      <c r="R16" s="1">
        <v>1.7616999999999999E-3</v>
      </c>
      <c r="S16" s="1">
        <v>1.9522999999999999E-8</v>
      </c>
      <c r="T16" s="1">
        <v>0</v>
      </c>
      <c r="U16" s="1">
        <v>0</v>
      </c>
      <c r="V16" s="1">
        <v>0</v>
      </c>
      <c r="Y16" s="1"/>
      <c r="Z16" s="1"/>
    </row>
    <row r="17" spans="1:30" x14ac:dyDescent="0.25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7</v>
      </c>
      <c r="H17">
        <v>11.366300000000001</v>
      </c>
      <c r="I17">
        <v>-99</v>
      </c>
      <c r="J17">
        <v>25</v>
      </c>
      <c r="K17" s="1">
        <v>1.6122E-8</v>
      </c>
      <c r="L17">
        <v>0.48180800000000001</v>
      </c>
      <c r="M17">
        <v>0.99999099999999996</v>
      </c>
      <c r="N17">
        <v>-5.0781199999999996E-4</v>
      </c>
      <c r="O17">
        <v>-5.2699000000000003E-2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Y17" s="1">
        <f>T17+U17+V17</f>
        <v>0</v>
      </c>
      <c r="Z17" s="1">
        <f>(Y17*1000*74.92)/10</f>
        <v>0</v>
      </c>
      <c r="AA17" s="1">
        <f>P17+Q17+R17+S17</f>
        <v>0</v>
      </c>
      <c r="AB17">
        <f>AA17*(10^6)/74.92</f>
        <v>0</v>
      </c>
      <c r="AC17" s="1">
        <f>SUM(P17:V17)*74.92*10^3</f>
        <v>0</v>
      </c>
      <c r="AD17" s="1"/>
    </row>
    <row r="18" spans="1:30" x14ac:dyDescent="0.25">
      <c r="A18">
        <v>22</v>
      </c>
      <c r="B18" t="s">
        <v>23</v>
      </c>
      <c r="C18">
        <v>2</v>
      </c>
      <c r="D18">
        <v>-99</v>
      </c>
      <c r="E18">
        <v>0</v>
      </c>
      <c r="F18">
        <v>1</v>
      </c>
      <c r="G18">
        <v>7</v>
      </c>
      <c r="H18">
        <v>1.1221099999999999</v>
      </c>
      <c r="I18">
        <v>-99</v>
      </c>
      <c r="J18">
        <v>25</v>
      </c>
      <c r="K18" s="1">
        <v>1.6122099999999999E-8</v>
      </c>
      <c r="L18">
        <v>0.48180800000000001</v>
      </c>
      <c r="M18">
        <v>0.99999099999999996</v>
      </c>
      <c r="N18">
        <v>-5.0889000000000002E-4</v>
      </c>
      <c r="O18">
        <v>-5.2810999999999997E-2</v>
      </c>
      <c r="P18" s="1">
        <v>5.8859000000000004E-17</v>
      </c>
      <c r="Q18" s="1">
        <v>1.8216E-13</v>
      </c>
      <c r="R18" s="1">
        <v>4.2213999999999997E-14</v>
      </c>
      <c r="S18" s="1">
        <v>4.6911E-19</v>
      </c>
      <c r="T18" s="1">
        <v>1.2624E-6</v>
      </c>
      <c r="U18" s="1">
        <v>7.2301999999999995E-8</v>
      </c>
      <c r="V18" s="1">
        <v>1.6484999999999999E-11</v>
      </c>
      <c r="Y18" s="1">
        <f t="shared" ref="Y18:Y31" si="0">T18+U18+V18</f>
        <v>1.3347184849999999E-6</v>
      </c>
      <c r="Z18" s="1">
        <f t="shared" ref="Z18:Z31" si="1">(Y18*1000*74.92)/10</f>
        <v>9.9997108896200011E-3</v>
      </c>
      <c r="AA18" s="1">
        <f t="shared" ref="AA18:AA31" si="2">P18+Q18+R18+S18</f>
        <v>2.2443332811000002E-13</v>
      </c>
      <c r="AB18">
        <f t="shared" ref="AB18:AB31" si="3">AA18*(10^6)/74.92</f>
        <v>2.9956397238387614E-9</v>
      </c>
      <c r="AC18" s="1">
        <f t="shared" ref="AC18:AC31" si="4">SUM(P18:V18)*74.92*10^3</f>
        <v>9.9997125710744941E-2</v>
      </c>
    </row>
    <row r="19" spans="1:30" x14ac:dyDescent="0.25">
      <c r="A19">
        <v>23</v>
      </c>
      <c r="B19" t="s">
        <v>23</v>
      </c>
      <c r="C19">
        <v>3</v>
      </c>
      <c r="D19">
        <v>-99</v>
      </c>
      <c r="E19">
        <v>0</v>
      </c>
      <c r="F19">
        <v>1</v>
      </c>
      <c r="G19">
        <v>7</v>
      </c>
      <c r="H19">
        <v>1.1107400000000001</v>
      </c>
      <c r="I19">
        <v>-99</v>
      </c>
      <c r="J19">
        <v>25</v>
      </c>
      <c r="K19" s="1">
        <v>1.61237E-8</v>
      </c>
      <c r="L19">
        <v>0.48180299999999998</v>
      </c>
      <c r="M19">
        <v>0.99999099999999996</v>
      </c>
      <c r="N19">
        <v>-5.1864200000000004E-4</v>
      </c>
      <c r="O19">
        <v>-5.3823500000000003E-2</v>
      </c>
      <c r="P19" s="1">
        <v>6.4145E-16</v>
      </c>
      <c r="Q19" s="1">
        <v>1.9852000000000001E-12</v>
      </c>
      <c r="R19" s="1">
        <v>4.6005999999999996E-13</v>
      </c>
      <c r="S19" s="1">
        <v>5.1123999999999999E-18</v>
      </c>
      <c r="T19" s="1">
        <v>1.26E-5</v>
      </c>
      <c r="U19" s="1">
        <v>7.4768000000000004E-7</v>
      </c>
      <c r="V19" s="1">
        <v>1.7664E-10</v>
      </c>
      <c r="Y19" s="1">
        <f t="shared" si="0"/>
        <v>1.334785664E-5</v>
      </c>
      <c r="Z19" s="1">
        <f t="shared" si="1"/>
        <v>0.10000214194687999</v>
      </c>
      <c r="AA19" s="1">
        <f t="shared" si="2"/>
        <v>2.4459065624000001E-12</v>
      </c>
      <c r="AB19">
        <f t="shared" si="3"/>
        <v>3.2646910870261614E-8</v>
      </c>
      <c r="AC19" s="1">
        <f t="shared" si="4"/>
        <v>1.0000216027161197</v>
      </c>
    </row>
    <row r="20" spans="1:30" x14ac:dyDescent="0.25">
      <c r="A20">
        <v>24</v>
      </c>
      <c r="B20" t="s">
        <v>23</v>
      </c>
      <c r="C20">
        <v>4</v>
      </c>
      <c r="D20">
        <v>-99</v>
      </c>
      <c r="E20">
        <v>0</v>
      </c>
      <c r="F20">
        <v>1</v>
      </c>
      <c r="G20">
        <v>7</v>
      </c>
      <c r="H20">
        <v>1.8768400000000001</v>
      </c>
      <c r="I20">
        <v>-99</v>
      </c>
      <c r="J20">
        <v>25</v>
      </c>
      <c r="K20" s="1">
        <v>1.61688E-8</v>
      </c>
      <c r="L20">
        <v>0.48175499999999999</v>
      </c>
      <c r="M20">
        <v>0.99999099999999996</v>
      </c>
      <c r="N20">
        <v>-6.2020599999999999E-4</v>
      </c>
      <c r="O20">
        <v>-6.4369999999999997E-2</v>
      </c>
      <c r="P20" s="1">
        <v>1.5866E-14</v>
      </c>
      <c r="Q20" s="1">
        <v>4.9109999999999999E-11</v>
      </c>
      <c r="R20" s="1">
        <v>1.1380999999999999E-11</v>
      </c>
      <c r="S20" s="1">
        <v>1.2647000000000001E-16</v>
      </c>
      <c r="T20" s="1">
        <v>1.2292999999999999E-4</v>
      </c>
      <c r="U20" s="1">
        <v>1.0542E-5</v>
      </c>
      <c r="V20" s="1">
        <v>3.5994000000000002E-9</v>
      </c>
      <c r="Y20" s="1">
        <f t="shared" si="0"/>
        <v>1.3347559939999999E-4</v>
      </c>
      <c r="Z20" s="1">
        <f t="shared" si="1"/>
        <v>0.99999919070479992</v>
      </c>
      <c r="AA20" s="1">
        <f t="shared" si="2"/>
        <v>6.0506992469999993E-11</v>
      </c>
      <c r="AB20">
        <f t="shared" si="3"/>
        <v>8.076213623865456E-7</v>
      </c>
      <c r="AC20" s="1">
        <f t="shared" si="4"/>
        <v>9.9999964402318753</v>
      </c>
    </row>
    <row r="21" spans="1:30" x14ac:dyDescent="0.25">
      <c r="A21">
        <v>25</v>
      </c>
      <c r="B21" t="s">
        <v>23</v>
      </c>
      <c r="C21">
        <v>5</v>
      </c>
      <c r="D21">
        <v>-99</v>
      </c>
      <c r="E21">
        <v>0</v>
      </c>
      <c r="F21">
        <v>1</v>
      </c>
      <c r="G21">
        <v>7</v>
      </c>
      <c r="H21">
        <v>2.4062999999999999</v>
      </c>
      <c r="I21">
        <v>-99</v>
      </c>
      <c r="J21">
        <v>25</v>
      </c>
      <c r="K21" s="1">
        <v>1.64187E-8</v>
      </c>
      <c r="L21">
        <v>0.48170000000000002</v>
      </c>
      <c r="M21">
        <v>0.99999099999999996</v>
      </c>
      <c r="N21">
        <v>-7.3918499999999995E-4</v>
      </c>
      <c r="O21">
        <v>-7.6727400000000001E-2</v>
      </c>
      <c r="P21" s="1">
        <v>9.7312999999999994E-14</v>
      </c>
      <c r="Q21" s="1">
        <v>3.0123999999999999E-10</v>
      </c>
      <c r="R21" s="1">
        <v>6.9810000000000002E-11</v>
      </c>
      <c r="S21" s="1">
        <v>7.7577999999999996E-16</v>
      </c>
      <c r="T21" s="1">
        <v>2.3549000000000001E-4</v>
      </c>
      <c r="U21" s="1">
        <v>3.1443999999999999E-5</v>
      </c>
      <c r="V21" s="1">
        <v>1.6715000000000001E-8</v>
      </c>
      <c r="Y21" s="1">
        <f t="shared" si="0"/>
        <v>2.6695071500000003E-4</v>
      </c>
      <c r="Z21" s="1">
        <f t="shared" si="1"/>
        <v>1.99999475678</v>
      </c>
      <c r="AA21" s="1">
        <f t="shared" si="2"/>
        <v>3.7114808877999998E-10</v>
      </c>
      <c r="AB21">
        <f t="shared" si="3"/>
        <v>4.9539253707955143E-6</v>
      </c>
      <c r="AC21" s="1">
        <f t="shared" si="4"/>
        <v>19.999975374214813</v>
      </c>
    </row>
    <row r="22" spans="1:30" x14ac:dyDescent="0.25">
      <c r="A22">
        <v>26</v>
      </c>
      <c r="B22" t="s">
        <v>23</v>
      </c>
      <c r="C22">
        <v>6</v>
      </c>
      <c r="D22">
        <v>-99</v>
      </c>
      <c r="E22">
        <v>0</v>
      </c>
      <c r="F22">
        <v>1</v>
      </c>
      <c r="G22">
        <v>7</v>
      </c>
      <c r="H22">
        <v>2.5020600000000002</v>
      </c>
      <c r="I22">
        <v>-99</v>
      </c>
      <c r="J22">
        <v>25</v>
      </c>
      <c r="K22" s="1">
        <v>1.77284E-8</v>
      </c>
      <c r="L22">
        <v>0.48164299999999999</v>
      </c>
      <c r="M22">
        <v>0.99999199999999999</v>
      </c>
      <c r="N22">
        <v>-8.5960099999999998E-4</v>
      </c>
      <c r="O22">
        <v>-8.92371E-2</v>
      </c>
      <c r="P22" s="1">
        <v>5.2088E-13</v>
      </c>
      <c r="Q22" s="1">
        <v>1.6127E-9</v>
      </c>
      <c r="R22" s="1">
        <v>3.7370999999999999E-10</v>
      </c>
      <c r="S22" s="1">
        <v>4.1530000000000002E-15</v>
      </c>
      <c r="T22" s="1">
        <v>3.2874E-4</v>
      </c>
      <c r="U22" s="1">
        <v>7.1617000000000002E-5</v>
      </c>
      <c r="V22" s="1">
        <v>6.2111999999999994E-8</v>
      </c>
      <c r="Y22" s="1">
        <f t="shared" si="0"/>
        <v>4.0041911199999999E-4</v>
      </c>
      <c r="Z22" s="1">
        <f t="shared" si="1"/>
        <v>2.9999399871039998</v>
      </c>
      <c r="AA22" s="1">
        <f t="shared" si="2"/>
        <v>1.9869350330000002E-9</v>
      </c>
      <c r="AB22">
        <f t="shared" si="3"/>
        <v>2.6520755912973841E-5</v>
      </c>
      <c r="AC22" s="1">
        <f t="shared" si="4"/>
        <v>29.999548732212673</v>
      </c>
    </row>
    <row r="23" spans="1:30" x14ac:dyDescent="0.25">
      <c r="A23">
        <v>27</v>
      </c>
      <c r="B23" t="s">
        <v>23</v>
      </c>
      <c r="C23">
        <v>7</v>
      </c>
      <c r="D23">
        <v>-99</v>
      </c>
      <c r="E23">
        <v>0</v>
      </c>
      <c r="F23">
        <v>1</v>
      </c>
      <c r="G23">
        <v>7</v>
      </c>
      <c r="H23">
        <v>3.3809</v>
      </c>
      <c r="I23">
        <v>-99</v>
      </c>
      <c r="J23">
        <v>25</v>
      </c>
      <c r="K23" s="1">
        <v>6.8619500000000001E-8</v>
      </c>
      <c r="L23">
        <v>0.48153800000000002</v>
      </c>
      <c r="M23">
        <v>0.99999199999999999</v>
      </c>
      <c r="N23">
        <v>-1.08395E-3</v>
      </c>
      <c r="O23">
        <v>-0.112552</v>
      </c>
      <c r="P23" s="1">
        <v>1.6946000000000002E-11</v>
      </c>
      <c r="Q23" s="1">
        <v>5.2476E-8</v>
      </c>
      <c r="R23" s="1">
        <v>1.2159999999999999E-8</v>
      </c>
      <c r="S23" s="1">
        <v>1.3513999999999999E-13</v>
      </c>
      <c r="T23" s="1">
        <v>3.9911999999999999E-4</v>
      </c>
      <c r="U23" s="1">
        <v>2.6748000000000001E-4</v>
      </c>
      <c r="V23" s="1">
        <v>7.1361999999999995E-7</v>
      </c>
      <c r="Y23" s="1">
        <f t="shared" si="0"/>
        <v>6.6731362000000002E-4</v>
      </c>
      <c r="Z23" s="1">
        <f t="shared" si="1"/>
        <v>4.999513641040001</v>
      </c>
      <c r="AA23" s="1">
        <f t="shared" si="2"/>
        <v>6.4653081140000007E-8</v>
      </c>
      <c r="AB23">
        <f t="shared" si="3"/>
        <v>8.6296157421249351E-4</v>
      </c>
      <c r="AC23" s="1">
        <f t="shared" si="4"/>
        <v>49.999980219238999</v>
      </c>
    </row>
    <row r="24" spans="1:30" x14ac:dyDescent="0.25">
      <c r="A24">
        <v>28</v>
      </c>
      <c r="B24" t="s">
        <v>23</v>
      </c>
      <c r="C24">
        <v>8</v>
      </c>
      <c r="D24">
        <v>-99</v>
      </c>
      <c r="E24">
        <v>0</v>
      </c>
      <c r="F24">
        <v>1</v>
      </c>
      <c r="G24">
        <v>7</v>
      </c>
      <c r="H24">
        <v>4.0771600000000001</v>
      </c>
      <c r="I24">
        <v>-99</v>
      </c>
      <c r="J24">
        <v>25</v>
      </c>
      <c r="K24" s="1">
        <v>2.71789E-6</v>
      </c>
      <c r="L24">
        <v>0.48143999999999998</v>
      </c>
      <c r="M24">
        <v>0.99999499999999997</v>
      </c>
      <c r="N24">
        <v>-1.30893E-3</v>
      </c>
      <c r="O24">
        <v>-0.13594000000000001</v>
      </c>
      <c r="P24" s="1">
        <v>8.7171999999999996E-10</v>
      </c>
      <c r="Q24" s="1">
        <v>2.7E-6</v>
      </c>
      <c r="R24" s="1">
        <v>6.2567999999999998E-7</v>
      </c>
      <c r="S24" s="1">
        <v>6.9533000000000003E-12</v>
      </c>
      <c r="T24" s="1">
        <v>2.7250000000000001E-4</v>
      </c>
      <c r="U24" s="1">
        <v>7.1770000000000004E-4</v>
      </c>
      <c r="V24" s="1">
        <v>7.5251000000000002E-6</v>
      </c>
      <c r="Y24" s="1">
        <f t="shared" si="0"/>
        <v>9.9772510000000012E-4</v>
      </c>
      <c r="Z24" s="1">
        <f t="shared" si="1"/>
        <v>7.4749564492000022</v>
      </c>
      <c r="AA24" s="1">
        <f t="shared" si="2"/>
        <v>3.3265586733000004E-6</v>
      </c>
      <c r="AB24">
        <f t="shared" si="3"/>
        <v>4.4401477219701023E-2</v>
      </c>
      <c r="AC24" s="1">
        <f t="shared" si="4"/>
        <v>74.998790267803656</v>
      </c>
    </row>
    <row r="25" spans="1:30" x14ac:dyDescent="0.25">
      <c r="A25">
        <v>29</v>
      </c>
      <c r="B25" t="s">
        <v>23</v>
      </c>
      <c r="C25">
        <v>9</v>
      </c>
      <c r="D25">
        <v>-99</v>
      </c>
      <c r="E25">
        <v>0</v>
      </c>
      <c r="F25">
        <v>1</v>
      </c>
      <c r="G25">
        <v>7</v>
      </c>
      <c r="H25">
        <v>4.7604199999999999</v>
      </c>
      <c r="I25">
        <v>-99</v>
      </c>
      <c r="J25">
        <v>25</v>
      </c>
      <c r="K25" s="1">
        <v>4.3045299999999999E-5</v>
      </c>
      <c r="L25">
        <v>0.48147200000000001</v>
      </c>
      <c r="M25">
        <v>0.99999800000000005</v>
      </c>
      <c r="N25">
        <v>-1.51125E-3</v>
      </c>
      <c r="O25">
        <v>-0.15695600000000001</v>
      </c>
      <c r="P25" s="1">
        <v>1.3884E-8</v>
      </c>
      <c r="Q25" s="1">
        <v>4.3001999999999999E-5</v>
      </c>
      <c r="R25" s="1">
        <v>9.9646999999999996E-6</v>
      </c>
      <c r="S25" s="1">
        <v>1.1074E-10</v>
      </c>
      <c r="T25" s="1">
        <v>1.5782E-4</v>
      </c>
      <c r="U25" s="1">
        <v>1.0938E-3</v>
      </c>
      <c r="V25" s="1">
        <v>3.0176999999999999E-5</v>
      </c>
      <c r="Y25" s="1">
        <f t="shared" si="0"/>
        <v>1.2817969999999999E-3</v>
      </c>
      <c r="Z25" s="1">
        <f t="shared" si="1"/>
        <v>9.6032231239999994</v>
      </c>
      <c r="AA25" s="1">
        <f t="shared" si="2"/>
        <v>5.2980694739999997E-5</v>
      </c>
      <c r="AB25">
        <f t="shared" si="3"/>
        <v>0.70716357100907634</v>
      </c>
      <c r="AC25" s="1">
        <f t="shared" si="4"/>
        <v>100.00154488992081</v>
      </c>
    </row>
    <row r="26" spans="1:30" x14ac:dyDescent="0.25">
      <c r="A26">
        <v>30</v>
      </c>
      <c r="B26" t="s">
        <v>23</v>
      </c>
      <c r="C26">
        <v>10</v>
      </c>
      <c r="D26">
        <v>-99</v>
      </c>
      <c r="E26">
        <v>0</v>
      </c>
      <c r="F26">
        <v>1</v>
      </c>
      <c r="G26">
        <v>7</v>
      </c>
      <c r="H26">
        <v>5.3548299999999998</v>
      </c>
      <c r="I26">
        <v>-99</v>
      </c>
      <c r="J26">
        <v>25</v>
      </c>
      <c r="K26">
        <v>3.8341699999999999E-4</v>
      </c>
      <c r="L26">
        <v>0.48216700000000001</v>
      </c>
      <c r="M26">
        <v>1</v>
      </c>
      <c r="N26">
        <v>-2.3295999999999998E-3</v>
      </c>
      <c r="O26">
        <v>-0.24176800000000001</v>
      </c>
      <c r="P26" s="1">
        <v>1.2389999999999999E-7</v>
      </c>
      <c r="Q26" s="1">
        <v>3.8315000000000002E-4</v>
      </c>
      <c r="R26" s="1">
        <v>8.8799000000000001E-5</v>
      </c>
      <c r="S26" s="1">
        <v>9.8672000000000008E-10</v>
      </c>
      <c r="T26" s="1">
        <v>1.0131E-4</v>
      </c>
      <c r="U26" s="1">
        <v>1.3564E-3</v>
      </c>
      <c r="V26" s="1">
        <v>7.2296E-5</v>
      </c>
      <c r="Y26" s="1">
        <f t="shared" si="0"/>
        <v>1.530006E-3</v>
      </c>
      <c r="Z26" s="1">
        <f t="shared" si="1"/>
        <v>11.462804952000001</v>
      </c>
      <c r="AA26" s="1">
        <f t="shared" si="2"/>
        <v>4.7207388671999999E-4</v>
      </c>
      <c r="AB26">
        <f t="shared" si="3"/>
        <v>6.3010395985050716</v>
      </c>
      <c r="AC26" s="1">
        <f t="shared" si="4"/>
        <v>149.99582511306238</v>
      </c>
    </row>
    <row r="27" spans="1:30" x14ac:dyDescent="0.25">
      <c r="A27">
        <v>31</v>
      </c>
      <c r="B27" t="s">
        <v>23</v>
      </c>
      <c r="C27">
        <v>11</v>
      </c>
      <c r="D27">
        <v>-99</v>
      </c>
      <c r="E27">
        <v>0</v>
      </c>
      <c r="F27">
        <v>1</v>
      </c>
      <c r="G27">
        <v>7</v>
      </c>
      <c r="H27">
        <v>5.5837300000000001</v>
      </c>
      <c r="I27">
        <v>-99</v>
      </c>
      <c r="J27">
        <v>25</v>
      </c>
      <c r="K27">
        <v>8.5744300000000005E-4</v>
      </c>
      <c r="L27">
        <v>0.48316700000000001</v>
      </c>
      <c r="M27">
        <v>1</v>
      </c>
      <c r="N27">
        <v>-3.4045199999999999E-3</v>
      </c>
      <c r="O27">
        <v>-0.352939</v>
      </c>
      <c r="P27" s="1">
        <v>2.7771000000000002E-7</v>
      </c>
      <c r="Q27" s="1">
        <v>8.5687000000000003E-4</v>
      </c>
      <c r="R27" s="1">
        <v>1.9861999999999999E-4</v>
      </c>
      <c r="S27" s="1">
        <v>2.2066999999999998E-9</v>
      </c>
      <c r="T27" s="1">
        <v>8.8969999999999997E-5</v>
      </c>
      <c r="U27" s="1">
        <v>1.4327999999999999E-3</v>
      </c>
      <c r="V27" s="1">
        <v>9.1865000000000002E-5</v>
      </c>
      <c r="Y27" s="1">
        <f t="shared" si="0"/>
        <v>1.613635E-3</v>
      </c>
      <c r="Z27" s="1">
        <f t="shared" si="1"/>
        <v>12.089353419999998</v>
      </c>
      <c r="AA27" s="1">
        <f t="shared" si="2"/>
        <v>1.0557699167E-3</v>
      </c>
      <c r="AB27">
        <f t="shared" si="3"/>
        <v>14.091963650560599</v>
      </c>
      <c r="AC27" s="1">
        <f t="shared" si="4"/>
        <v>199.99181635916401</v>
      </c>
    </row>
    <row r="28" spans="1:30" x14ac:dyDescent="0.25">
      <c r="A28">
        <v>32</v>
      </c>
      <c r="B28" t="s">
        <v>23</v>
      </c>
      <c r="C28">
        <v>12</v>
      </c>
      <c r="D28">
        <v>-99</v>
      </c>
      <c r="E28">
        <v>0</v>
      </c>
      <c r="F28">
        <v>1</v>
      </c>
      <c r="G28">
        <v>7</v>
      </c>
      <c r="H28">
        <v>5.5197900000000004</v>
      </c>
      <c r="I28">
        <v>-99</v>
      </c>
      <c r="J28">
        <v>25</v>
      </c>
      <c r="K28">
        <v>1.88598E-3</v>
      </c>
      <c r="L28">
        <v>0.48534899999999997</v>
      </c>
      <c r="M28">
        <v>1</v>
      </c>
      <c r="N28">
        <v>-5.7132700000000003E-3</v>
      </c>
      <c r="O28">
        <v>-0.59086799999999995</v>
      </c>
      <c r="P28" s="1">
        <v>6.1379999999999995E-7</v>
      </c>
      <c r="Q28" s="1">
        <v>1.8847E-3</v>
      </c>
      <c r="R28" s="1">
        <v>4.3705000000000003E-4</v>
      </c>
      <c r="S28" s="1">
        <v>4.8537999999999999E-9</v>
      </c>
      <c r="T28" s="1">
        <v>8.0782E-5</v>
      </c>
      <c r="U28" s="1">
        <v>1.4913999999999999E-3</v>
      </c>
      <c r="V28" s="1">
        <v>1.0961E-4</v>
      </c>
      <c r="Y28" s="1">
        <f t="shared" si="0"/>
        <v>1.6817919999999999E-3</v>
      </c>
      <c r="Z28" s="1">
        <f t="shared" si="1"/>
        <v>12.599985664</v>
      </c>
      <c r="AA28" s="1">
        <f t="shared" si="2"/>
        <v>2.3223686538000003E-3</v>
      </c>
      <c r="AB28">
        <f t="shared" si="3"/>
        <v>30.99797989588895</v>
      </c>
      <c r="AC28" s="1">
        <f t="shared" si="4"/>
        <v>299.991716182696</v>
      </c>
    </row>
    <row r="29" spans="1:30" x14ac:dyDescent="0.25">
      <c r="A29">
        <v>33</v>
      </c>
      <c r="B29" t="s">
        <v>23</v>
      </c>
      <c r="C29">
        <v>13</v>
      </c>
      <c r="D29">
        <v>-99</v>
      </c>
      <c r="E29">
        <v>0</v>
      </c>
      <c r="F29">
        <v>1</v>
      </c>
      <c r="G29">
        <v>7</v>
      </c>
      <c r="H29">
        <v>5.9547999999999996</v>
      </c>
      <c r="I29">
        <v>-99</v>
      </c>
      <c r="J29">
        <v>25</v>
      </c>
      <c r="K29">
        <v>2.9449799999999998E-3</v>
      </c>
      <c r="L29">
        <v>0.48759999999999998</v>
      </c>
      <c r="M29">
        <v>1</v>
      </c>
      <c r="N29">
        <v>-8.0822499999999992E-3</v>
      </c>
      <c r="O29">
        <v>-0.83381300000000003</v>
      </c>
      <c r="P29" s="1">
        <v>9.6322999999999992E-7</v>
      </c>
      <c r="Q29" s="1">
        <v>2.9429999999999999E-3</v>
      </c>
      <c r="R29" s="1">
        <v>6.8272999999999999E-4</v>
      </c>
      <c r="S29" s="1">
        <v>7.5793999999999997E-9</v>
      </c>
      <c r="T29" s="1">
        <v>7.7688999999999994E-5</v>
      </c>
      <c r="U29" s="1">
        <v>1.5165999999999999E-3</v>
      </c>
      <c r="V29" s="1">
        <v>1.1786E-4</v>
      </c>
      <c r="Y29" s="1">
        <f t="shared" si="0"/>
        <v>1.7121489999999998E-3</v>
      </c>
      <c r="Z29" s="1">
        <f t="shared" si="1"/>
        <v>12.827420308000001</v>
      </c>
      <c r="AA29" s="1">
        <f t="shared" si="2"/>
        <v>3.6267008093999998E-3</v>
      </c>
      <c r="AB29">
        <f t="shared" si="3"/>
        <v>48.407645613988251</v>
      </c>
      <c r="AC29" s="1">
        <f t="shared" si="4"/>
        <v>399.98662772024801</v>
      </c>
    </row>
    <row r="30" spans="1:30" x14ac:dyDescent="0.25">
      <c r="A30">
        <v>34</v>
      </c>
      <c r="B30" t="s">
        <v>23</v>
      </c>
      <c r="C30">
        <v>14</v>
      </c>
      <c r="D30">
        <v>-99</v>
      </c>
      <c r="E30">
        <v>0</v>
      </c>
      <c r="F30">
        <v>1</v>
      </c>
      <c r="G30">
        <v>7</v>
      </c>
      <c r="H30">
        <v>5.9812799999999999</v>
      </c>
      <c r="I30">
        <v>-99</v>
      </c>
      <c r="J30">
        <v>25</v>
      </c>
      <c r="K30">
        <v>4.01433E-3</v>
      </c>
      <c r="L30">
        <v>0.48987399999999998</v>
      </c>
      <c r="M30">
        <v>1</v>
      </c>
      <c r="N30">
        <v>-1.04717E-2</v>
      </c>
      <c r="O30">
        <v>-1.07765</v>
      </c>
      <c r="P30" s="1">
        <v>1.3196E-6</v>
      </c>
      <c r="Q30" s="1">
        <v>4.0117E-3</v>
      </c>
      <c r="R30" s="1">
        <v>9.3103000000000001E-4</v>
      </c>
      <c r="S30" s="1">
        <v>1.0331999999999999E-8</v>
      </c>
      <c r="T30" s="1">
        <v>7.6130999999999993E-5</v>
      </c>
      <c r="U30" s="1">
        <v>1.5309E-3</v>
      </c>
      <c r="V30" s="1">
        <v>1.2255E-4</v>
      </c>
      <c r="Y30" s="1">
        <f t="shared" si="0"/>
        <v>1.7295809999999998E-3</v>
      </c>
      <c r="Z30" s="1">
        <f t="shared" si="1"/>
        <v>12.958020851999999</v>
      </c>
      <c r="AA30" s="1">
        <f t="shared" si="2"/>
        <v>4.9440599320000004E-3</v>
      </c>
      <c r="AB30">
        <f t="shared" si="3"/>
        <v>65.991189695675388</v>
      </c>
      <c r="AC30" s="1">
        <f t="shared" si="4"/>
        <v>499.98917862544005</v>
      </c>
    </row>
    <row r="31" spans="1:30" x14ac:dyDescent="0.25">
      <c r="A31">
        <v>35</v>
      </c>
      <c r="B31" t="s">
        <v>23</v>
      </c>
      <c r="C31">
        <v>15</v>
      </c>
      <c r="D31">
        <v>-99</v>
      </c>
      <c r="E31">
        <v>0</v>
      </c>
      <c r="F31">
        <v>1</v>
      </c>
      <c r="G31">
        <v>7</v>
      </c>
      <c r="H31">
        <v>5.9366899999999996</v>
      </c>
      <c r="I31">
        <v>-99</v>
      </c>
      <c r="J31">
        <v>25</v>
      </c>
      <c r="K31">
        <v>6.1650899999999998E-3</v>
      </c>
      <c r="L31">
        <v>0.49445</v>
      </c>
      <c r="M31">
        <v>1</v>
      </c>
      <c r="N31">
        <v>-1.5274899999999999E-2</v>
      </c>
      <c r="O31">
        <v>-1.5641400000000001</v>
      </c>
      <c r="P31" s="1">
        <v>2.0470999999999998E-6</v>
      </c>
      <c r="Q31" s="1">
        <v>6.1609999999999998E-3</v>
      </c>
      <c r="R31" s="1">
        <v>1.4311E-3</v>
      </c>
      <c r="S31" s="1">
        <v>1.5869000000000001E-8</v>
      </c>
      <c r="T31" s="1">
        <v>7.4721000000000005E-5</v>
      </c>
      <c r="U31" s="1">
        <v>1.5467E-3</v>
      </c>
      <c r="V31" s="1">
        <v>1.2746E-4</v>
      </c>
      <c r="Y31" s="1">
        <f t="shared" si="0"/>
        <v>1.7488810000000001E-3</v>
      </c>
      <c r="Z31" s="1">
        <f t="shared" si="1"/>
        <v>13.102616452000001</v>
      </c>
      <c r="AA31" s="1">
        <f t="shared" si="2"/>
        <v>7.5941629690000007E-3</v>
      </c>
      <c r="AB31">
        <f t="shared" si="3"/>
        <v>101.36362745595302</v>
      </c>
      <c r="AC31" s="1">
        <f t="shared" si="4"/>
        <v>699.98085415748005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plot</vt:lpstr>
      <vt:lpstr>0-01</vt:lpstr>
      <vt:lpstr>0-05</vt:lpstr>
      <vt:lpstr>0-1</vt:lpstr>
      <vt:lpstr>0-7</vt:lpstr>
      <vt:lpstr>0-3</vt:lpstr>
      <vt:lpstr>0-5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Bullen, Jay</dc:creator>
  <cp:lastModifiedBy>Bullen, Jay</cp:lastModifiedBy>
  <dcterms:created xsi:type="dcterms:W3CDTF">2019-03-13T11:06:42Z</dcterms:created>
  <dcterms:modified xsi:type="dcterms:W3CDTF">2019-05-07T18:14:55Z</dcterms:modified>
</cp:coreProperties>
</file>