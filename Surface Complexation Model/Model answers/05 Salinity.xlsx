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icnas3.cc.ic.ac.uk\jcb116\PhD Jay Bullen 2016-2019\Admin &amp; Miscellaneous\Teaching\2019 EnvGeoChem lab course (PHREEQC)\"/>
    </mc:Choice>
  </mc:AlternateContent>
  <bookViews>
    <workbookView xWindow="0" yWindow="0" windowWidth="13755" windowHeight="6585"/>
  </bookViews>
  <sheets>
    <sheet name="plot" sheetId="8" r:id="rId1"/>
    <sheet name="0-1" sheetId="1" r:id="rId2"/>
    <sheet name="0-2" sheetId="2" r:id="rId3"/>
    <sheet name="0-3" sheetId="3" r:id="rId4"/>
    <sheet name="0-4" sheetId="4" r:id="rId5"/>
    <sheet name="0-5" sheetId="5" r:id="rId6"/>
    <sheet name="0-6" sheetId="6" r:id="rId7"/>
    <sheet name="0-7" sheetId="7" r:id="rId8"/>
  </sheets>
  <calcPr calcId="0"/>
</workbook>
</file>

<file path=xl/calcChain.xml><?xml version="1.0" encoding="utf-8"?>
<calcChain xmlns="http://schemas.openxmlformats.org/spreadsheetml/2006/main">
  <c r="Y19" i="7" l="1"/>
  <c r="Y18" i="7"/>
  <c r="Y17" i="7"/>
  <c r="Y16" i="7"/>
  <c r="Y15" i="7"/>
  <c r="Y14" i="7"/>
  <c r="Y13" i="7"/>
  <c r="Y12" i="7"/>
  <c r="Y11" i="7"/>
  <c r="Y10" i="7"/>
  <c r="Y9" i="7"/>
  <c r="Y8" i="7"/>
  <c r="Y7" i="7"/>
  <c r="Y6" i="7"/>
  <c r="Y5" i="7"/>
  <c r="Y4" i="7"/>
  <c r="Y3" i="7"/>
  <c r="Y19" i="6"/>
  <c r="Y18" i="6"/>
  <c r="Y17" i="6"/>
  <c r="Y16" i="6"/>
  <c r="Y15" i="6"/>
  <c r="Y14" i="6"/>
  <c r="Y13" i="6"/>
  <c r="Y12" i="6"/>
  <c r="Y11" i="6"/>
  <c r="Y10" i="6"/>
  <c r="Y9" i="6"/>
  <c r="Y8" i="6"/>
  <c r="Y7" i="6"/>
  <c r="Y6" i="6"/>
  <c r="Y5" i="6"/>
  <c r="Y4" i="6"/>
  <c r="Y3" i="6"/>
  <c r="Y19" i="5"/>
  <c r="Y18" i="5"/>
  <c r="Y17" i="5"/>
  <c r="Y16" i="5"/>
  <c r="Y15" i="5"/>
  <c r="Y14" i="5"/>
  <c r="Y13" i="5"/>
  <c r="Y12" i="5"/>
  <c r="Y11" i="5"/>
  <c r="Y10" i="5"/>
  <c r="Y9" i="5"/>
  <c r="Y8" i="5"/>
  <c r="Y7" i="5"/>
  <c r="Y6" i="5"/>
  <c r="Y5" i="5"/>
  <c r="Y4" i="5"/>
  <c r="Y3" i="5"/>
  <c r="Y19" i="4"/>
  <c r="Y18" i="4"/>
  <c r="Y17" i="4"/>
  <c r="Y16" i="4"/>
  <c r="Y15" i="4"/>
  <c r="Y14" i="4"/>
  <c r="Y13" i="4"/>
  <c r="Y12" i="4"/>
  <c r="Y11" i="4"/>
  <c r="Y10" i="4"/>
  <c r="Y9" i="4"/>
  <c r="Y8" i="4"/>
  <c r="Y7" i="4"/>
  <c r="Y6" i="4"/>
  <c r="Y5" i="4"/>
  <c r="Y4" i="4"/>
  <c r="Y3" i="4"/>
  <c r="Y19" i="3"/>
  <c r="Y18" i="3"/>
  <c r="Y17" i="3"/>
  <c r="Y16" i="3"/>
  <c r="Y15" i="3"/>
  <c r="Y14" i="3"/>
  <c r="Y13" i="3"/>
  <c r="Y12" i="3"/>
  <c r="Y11" i="3"/>
  <c r="Y10" i="3"/>
  <c r="Y9" i="3"/>
  <c r="Y8" i="3"/>
  <c r="Y7" i="3"/>
  <c r="Y6" i="3"/>
  <c r="Y5" i="3"/>
  <c r="Y4" i="3"/>
  <c r="Y3" i="3"/>
  <c r="Y19" i="2"/>
  <c r="Y18" i="2"/>
  <c r="Y17" i="2"/>
  <c r="Y16" i="2"/>
  <c r="Y15" i="2"/>
  <c r="Y14" i="2"/>
  <c r="Y13" i="2"/>
  <c r="Y12" i="2"/>
  <c r="Y11" i="2"/>
  <c r="Y10" i="2"/>
  <c r="Y9" i="2"/>
  <c r="Y8" i="2"/>
  <c r="Y7" i="2"/>
  <c r="Y6" i="2"/>
  <c r="Y5" i="2"/>
  <c r="Y4" i="2"/>
  <c r="Y3" i="2"/>
  <c r="Y19" i="1"/>
  <c r="Y18" i="1"/>
  <c r="Y17" i="1"/>
  <c r="Y16" i="1"/>
  <c r="Y15" i="1"/>
  <c r="Y14" i="1"/>
  <c r="Y13" i="1"/>
  <c r="Y12" i="1"/>
  <c r="Y11" i="1"/>
  <c r="Y10" i="1"/>
  <c r="Y9" i="1"/>
  <c r="Y8" i="1"/>
  <c r="Y7" i="1"/>
  <c r="Y6" i="1"/>
  <c r="Y5" i="1"/>
  <c r="Y4" i="1"/>
  <c r="Y3" i="1"/>
</calcChain>
</file>

<file path=xl/sharedStrings.xml><?xml version="1.0" encoding="utf-8"?>
<sst xmlns="http://schemas.openxmlformats.org/spreadsheetml/2006/main" count="287" uniqueCount="25">
  <si>
    <t xml:space="preserve">         sim</t>
  </si>
  <si>
    <t xml:space="preserve">       state</t>
  </si>
  <si>
    <t xml:space="preserve">        soln</t>
  </si>
  <si>
    <t xml:space="preserve">      dist_x</t>
  </si>
  <si>
    <t xml:space="preserve">        time</t>
  </si>
  <si>
    <t xml:space="preserve">        step</t>
  </si>
  <si>
    <t xml:space="preserve">          pH</t>
  </si>
  <si>
    <t xml:space="preserve">          pe</t>
  </si>
  <si>
    <t xml:space="preserve">    reaction</t>
  </si>
  <si>
    <t xml:space="preserve">        temp</t>
  </si>
  <si>
    <t xml:space="preserve">         Alk</t>
  </si>
  <si>
    <t xml:space="preserve">          mu</t>
  </si>
  <si>
    <t xml:space="preserve">    mass_H2O</t>
  </si>
  <si>
    <t xml:space="preserve">      charge</t>
  </si>
  <si>
    <t xml:space="preserve">     pct_err</t>
  </si>
  <si>
    <t xml:space="preserve">    m_AsO4-3</t>
  </si>
  <si>
    <t xml:space="preserve">   m_HAsO4-2</t>
  </si>
  <si>
    <t xml:space="preserve">   m_H2AsO4-</t>
  </si>
  <si>
    <t xml:space="preserve">    m_H3AsO4</t>
  </si>
  <si>
    <t>m_Surf_AsO4-2</t>
  </si>
  <si>
    <t>m_Surf_HAsO4-</t>
  </si>
  <si>
    <t>m_Surf_H2AsO4</t>
  </si>
  <si>
    <t xml:space="preserve">      i_soln</t>
  </si>
  <si>
    <t xml:space="preserve">       react</t>
  </si>
  <si>
    <t>As(ads)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</si>
</sst>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Affect of salinity on As(V) adsorption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0.1 M NaCl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'0-1'!$G$3:$G$21</c:f>
              <c:numCache>
                <c:formatCode>General</c:formatCode>
                <c:ptCount val="19"/>
                <c:pt idx="0">
                  <c:v>3</c:v>
                </c:pt>
                <c:pt idx="1">
                  <c:v>3.5</c:v>
                </c:pt>
                <c:pt idx="2">
                  <c:v>4</c:v>
                </c:pt>
                <c:pt idx="3">
                  <c:v>4.5</c:v>
                </c:pt>
                <c:pt idx="4">
                  <c:v>5</c:v>
                </c:pt>
                <c:pt idx="5">
                  <c:v>5.5</c:v>
                </c:pt>
                <c:pt idx="6">
                  <c:v>6</c:v>
                </c:pt>
                <c:pt idx="7">
                  <c:v>6.5</c:v>
                </c:pt>
                <c:pt idx="8">
                  <c:v>7</c:v>
                </c:pt>
                <c:pt idx="9">
                  <c:v>7.5</c:v>
                </c:pt>
                <c:pt idx="10">
                  <c:v>8</c:v>
                </c:pt>
                <c:pt idx="11">
                  <c:v>8.5</c:v>
                </c:pt>
                <c:pt idx="12">
                  <c:v>9</c:v>
                </c:pt>
                <c:pt idx="13">
                  <c:v>9.5</c:v>
                </c:pt>
                <c:pt idx="14">
                  <c:v>10</c:v>
                </c:pt>
                <c:pt idx="15">
                  <c:v>10.5</c:v>
                </c:pt>
                <c:pt idx="16">
                  <c:v>11</c:v>
                </c:pt>
              </c:numCache>
            </c:numRef>
          </c:xVal>
          <c:yVal>
            <c:numRef>
              <c:f>'0-1'!$Y$3:$Y$21</c:f>
              <c:numCache>
                <c:formatCode>0.00E+00</c:formatCode>
                <c:ptCount val="19"/>
                <c:pt idx="0">
                  <c:v>7.6376178500000007E-5</c:v>
                </c:pt>
                <c:pt idx="1">
                  <c:v>7.3474273999999998E-5</c:v>
                </c:pt>
                <c:pt idx="2">
                  <c:v>6.9618487999999998E-5</c:v>
                </c:pt>
                <c:pt idx="3">
                  <c:v>6.5480275999999998E-5</c:v>
                </c:pt>
                <c:pt idx="4">
                  <c:v>6.1778450000000008E-5</c:v>
                </c:pt>
                <c:pt idx="5">
                  <c:v>5.9040319999999999E-5</c:v>
                </c:pt>
                <c:pt idx="6">
                  <c:v>5.7324020000000003E-5</c:v>
                </c:pt>
                <c:pt idx="7">
                  <c:v>5.6133600000000001E-5</c:v>
                </c:pt>
                <c:pt idx="8">
                  <c:v>5.4634099999999999E-5</c:v>
                </c:pt>
                <c:pt idx="9">
                  <c:v>5.2089289999999995E-5</c:v>
                </c:pt>
                <c:pt idx="10">
                  <c:v>4.8540660000000005E-5</c:v>
                </c:pt>
                <c:pt idx="11">
                  <c:v>4.4781966999999995E-5</c:v>
                </c:pt>
                <c:pt idx="12">
                  <c:v>4.1211355199999997E-5</c:v>
                </c:pt>
                <c:pt idx="13">
                  <c:v>3.7575208600000004E-5</c:v>
                </c:pt>
                <c:pt idx="14">
                  <c:v>3.3718934340000007E-5</c:v>
                </c:pt>
                <c:pt idx="15">
                  <c:v>2.9359475497999998E-5</c:v>
                </c:pt>
                <c:pt idx="16">
                  <c:v>2.2389881890699998E-5</c:v>
                </c:pt>
              </c:numCache>
            </c:numRef>
          </c:yVal>
          <c:smooth val="1"/>
        </c:ser>
        <c:ser>
          <c:idx val="1"/>
          <c:order val="1"/>
          <c:tx>
            <c:v>0.2 M NaCl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'0-2'!$G$3:$G$22</c:f>
              <c:numCache>
                <c:formatCode>General</c:formatCode>
                <c:ptCount val="20"/>
                <c:pt idx="0">
                  <c:v>3</c:v>
                </c:pt>
                <c:pt idx="1">
                  <c:v>3.5</c:v>
                </c:pt>
                <c:pt idx="2">
                  <c:v>4</c:v>
                </c:pt>
                <c:pt idx="3">
                  <c:v>4.5</c:v>
                </c:pt>
                <c:pt idx="4">
                  <c:v>5</c:v>
                </c:pt>
                <c:pt idx="5">
                  <c:v>5.5</c:v>
                </c:pt>
                <c:pt idx="6">
                  <c:v>6</c:v>
                </c:pt>
                <c:pt idx="7">
                  <c:v>6.5</c:v>
                </c:pt>
                <c:pt idx="8">
                  <c:v>7</c:v>
                </c:pt>
                <c:pt idx="9">
                  <c:v>7.5</c:v>
                </c:pt>
                <c:pt idx="10">
                  <c:v>8</c:v>
                </c:pt>
                <c:pt idx="11">
                  <c:v>8.5</c:v>
                </c:pt>
                <c:pt idx="12">
                  <c:v>9</c:v>
                </c:pt>
                <c:pt idx="13">
                  <c:v>9.5</c:v>
                </c:pt>
                <c:pt idx="14">
                  <c:v>10</c:v>
                </c:pt>
                <c:pt idx="15">
                  <c:v>10.5</c:v>
                </c:pt>
                <c:pt idx="16">
                  <c:v>11</c:v>
                </c:pt>
              </c:numCache>
            </c:numRef>
          </c:xVal>
          <c:yVal>
            <c:numRef>
              <c:f>'0-2'!$Y$3:$Y$21</c:f>
              <c:numCache>
                <c:formatCode>0.00E+00</c:formatCode>
                <c:ptCount val="19"/>
                <c:pt idx="0">
                  <c:v>7.5650157099999997E-5</c:v>
                </c:pt>
                <c:pt idx="1">
                  <c:v>7.3104148000000002E-5</c:v>
                </c:pt>
                <c:pt idx="2">
                  <c:v>6.9629687999999996E-5</c:v>
                </c:pt>
                <c:pt idx="3">
                  <c:v>6.5936420000000003E-5</c:v>
                </c:pt>
                <c:pt idx="4">
                  <c:v>6.2767540000000001E-5</c:v>
                </c:pt>
                <c:pt idx="5">
                  <c:v>6.0625959999999996E-5</c:v>
                </c:pt>
                <c:pt idx="6">
                  <c:v>5.9476100000000005E-5</c:v>
                </c:pt>
                <c:pt idx="7">
                  <c:v>5.8677599999999995E-5</c:v>
                </c:pt>
                <c:pt idx="8">
                  <c:v>5.73168E-5</c:v>
                </c:pt>
                <c:pt idx="9">
                  <c:v>5.4785470000000004E-5</c:v>
                </c:pt>
                <c:pt idx="10">
                  <c:v>5.1385300000000004E-5</c:v>
                </c:pt>
                <c:pt idx="11">
                  <c:v>4.7997032999999998E-5</c:v>
                </c:pt>
                <c:pt idx="12">
                  <c:v>4.4934119799999999E-5</c:v>
                </c:pt>
                <c:pt idx="13">
                  <c:v>4.1856332400000002E-5</c:v>
                </c:pt>
                <c:pt idx="14">
                  <c:v>3.8457967140000004E-5</c:v>
                </c:pt>
                <c:pt idx="15">
                  <c:v>3.3921726483999995E-5</c:v>
                </c:pt>
                <c:pt idx="16">
                  <c:v>2.5345883082499997E-5</c:v>
                </c:pt>
              </c:numCache>
            </c:numRef>
          </c:yVal>
          <c:smooth val="1"/>
        </c:ser>
        <c:ser>
          <c:idx val="2"/>
          <c:order val="2"/>
          <c:tx>
            <c:v>0.3 M NaCl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'0-3'!$G$3:$G$25</c:f>
              <c:numCache>
                <c:formatCode>General</c:formatCode>
                <c:ptCount val="23"/>
                <c:pt idx="0">
                  <c:v>3</c:v>
                </c:pt>
                <c:pt idx="1">
                  <c:v>3.5</c:v>
                </c:pt>
                <c:pt idx="2">
                  <c:v>4</c:v>
                </c:pt>
                <c:pt idx="3">
                  <c:v>4.5</c:v>
                </c:pt>
                <c:pt idx="4">
                  <c:v>5</c:v>
                </c:pt>
                <c:pt idx="5">
                  <c:v>5.5</c:v>
                </c:pt>
                <c:pt idx="6">
                  <c:v>6</c:v>
                </c:pt>
                <c:pt idx="7">
                  <c:v>6.5</c:v>
                </c:pt>
                <c:pt idx="8">
                  <c:v>7</c:v>
                </c:pt>
                <c:pt idx="9">
                  <c:v>7.5</c:v>
                </c:pt>
                <c:pt idx="10">
                  <c:v>8</c:v>
                </c:pt>
                <c:pt idx="11">
                  <c:v>8.5</c:v>
                </c:pt>
                <c:pt idx="12">
                  <c:v>9</c:v>
                </c:pt>
                <c:pt idx="13">
                  <c:v>9.5</c:v>
                </c:pt>
                <c:pt idx="14">
                  <c:v>10</c:v>
                </c:pt>
                <c:pt idx="15">
                  <c:v>10.5</c:v>
                </c:pt>
                <c:pt idx="16">
                  <c:v>11</c:v>
                </c:pt>
              </c:numCache>
            </c:numRef>
          </c:xVal>
          <c:yVal>
            <c:numRef>
              <c:f>'0-3'!$Y$3:$Y$21</c:f>
              <c:numCache>
                <c:formatCode>0.00E+00</c:formatCode>
                <c:ptCount val="19"/>
                <c:pt idx="0">
                  <c:v>7.5215706000000002E-5</c:v>
                </c:pt>
                <c:pt idx="1">
                  <c:v>7.2916933000000003E-5</c:v>
                </c:pt>
                <c:pt idx="2">
                  <c:v>6.9709913000000004E-5</c:v>
                </c:pt>
                <c:pt idx="3">
                  <c:v>6.632942000000001E-5</c:v>
                </c:pt>
                <c:pt idx="4">
                  <c:v>6.3529409999999996E-5</c:v>
                </c:pt>
                <c:pt idx="5">
                  <c:v>6.1792180000000006E-5</c:v>
                </c:pt>
                <c:pt idx="6">
                  <c:v>6.1026500000000003E-5</c:v>
                </c:pt>
                <c:pt idx="7">
                  <c:v>6.0494200000000001E-5</c:v>
                </c:pt>
                <c:pt idx="8">
                  <c:v>5.9243000000000002E-5</c:v>
                </c:pt>
                <c:pt idx="9">
                  <c:v>5.6764600000000002E-5</c:v>
                </c:pt>
                <c:pt idx="10">
                  <c:v>5.3512579999999999E-5</c:v>
                </c:pt>
                <c:pt idx="11">
                  <c:v>5.0405696999999996E-5</c:v>
                </c:pt>
                <c:pt idx="12">
                  <c:v>4.7700079900000001E-5</c:v>
                </c:pt>
                <c:pt idx="13">
                  <c:v>4.4985450099999993E-5</c:v>
                </c:pt>
                <c:pt idx="14">
                  <c:v>4.1792835260000002E-5</c:v>
                </c:pt>
                <c:pt idx="15">
                  <c:v>3.6908002435999996E-5</c:v>
                </c:pt>
                <c:pt idx="16">
                  <c:v>2.703434075144E-5</c:v>
                </c:pt>
              </c:numCache>
            </c:numRef>
          </c:yVal>
          <c:smooth val="1"/>
        </c:ser>
        <c:ser>
          <c:idx val="3"/>
          <c:order val="3"/>
          <c:tx>
            <c:v>0.4 M NaCl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'0-4'!$G$3:$G$25</c:f>
              <c:numCache>
                <c:formatCode>General</c:formatCode>
                <c:ptCount val="23"/>
                <c:pt idx="0">
                  <c:v>3</c:v>
                </c:pt>
                <c:pt idx="1">
                  <c:v>3.5</c:v>
                </c:pt>
                <c:pt idx="2">
                  <c:v>4</c:v>
                </c:pt>
                <c:pt idx="3">
                  <c:v>4.5</c:v>
                </c:pt>
                <c:pt idx="4">
                  <c:v>5</c:v>
                </c:pt>
                <c:pt idx="5">
                  <c:v>5.5</c:v>
                </c:pt>
                <c:pt idx="6">
                  <c:v>6</c:v>
                </c:pt>
                <c:pt idx="7">
                  <c:v>6.5</c:v>
                </c:pt>
                <c:pt idx="8">
                  <c:v>7</c:v>
                </c:pt>
                <c:pt idx="9">
                  <c:v>7.5</c:v>
                </c:pt>
                <c:pt idx="10">
                  <c:v>8</c:v>
                </c:pt>
                <c:pt idx="11">
                  <c:v>8.5</c:v>
                </c:pt>
                <c:pt idx="12">
                  <c:v>9</c:v>
                </c:pt>
                <c:pt idx="13">
                  <c:v>9.5</c:v>
                </c:pt>
                <c:pt idx="14">
                  <c:v>10</c:v>
                </c:pt>
                <c:pt idx="15">
                  <c:v>10.5</c:v>
                </c:pt>
                <c:pt idx="16">
                  <c:v>11</c:v>
                </c:pt>
              </c:numCache>
            </c:numRef>
          </c:xVal>
          <c:yVal>
            <c:numRef>
              <c:f>'0-4'!$Y$3:$Y$22</c:f>
              <c:numCache>
                <c:formatCode>0.00E+00</c:formatCode>
                <c:ptCount val="20"/>
                <c:pt idx="0">
                  <c:v>7.4929839299999997E-5</c:v>
                </c:pt>
                <c:pt idx="1">
                  <c:v>7.2822695999999999E-5</c:v>
                </c:pt>
                <c:pt idx="2">
                  <c:v>6.9827683000000002E-5</c:v>
                </c:pt>
                <c:pt idx="3">
                  <c:v>6.6692839999999996E-5</c:v>
                </c:pt>
                <c:pt idx="4">
                  <c:v>6.417905E-5</c:v>
                </c:pt>
                <c:pt idx="5">
                  <c:v>6.2759640000000004E-5</c:v>
                </c:pt>
                <c:pt idx="6">
                  <c:v>6.2294300000000004E-5</c:v>
                </c:pt>
                <c:pt idx="7">
                  <c:v>6.1979699999999992E-5</c:v>
                </c:pt>
                <c:pt idx="8">
                  <c:v>6.0835499999999997E-5</c:v>
                </c:pt>
                <c:pt idx="9">
                  <c:v>5.8431489999999997E-5</c:v>
                </c:pt>
                <c:pt idx="10">
                  <c:v>5.5320910000000002E-5</c:v>
                </c:pt>
                <c:pt idx="11">
                  <c:v>5.2444773999999992E-5</c:v>
                </c:pt>
                <c:pt idx="12">
                  <c:v>5.0022084599999996E-5</c:v>
                </c:pt>
                <c:pt idx="13">
                  <c:v>4.7571440640000002E-5</c:v>
                </c:pt>
                <c:pt idx="14">
                  <c:v>4.4462516129999995E-5</c:v>
                </c:pt>
                <c:pt idx="15">
                  <c:v>3.9174790086000003E-5</c:v>
                </c:pt>
                <c:pt idx="16">
                  <c:v>2.8206568571610001E-5</c:v>
                </c:pt>
              </c:numCache>
            </c:numRef>
          </c:yVal>
          <c:smooth val="1"/>
        </c:ser>
        <c:ser>
          <c:idx val="4"/>
          <c:order val="4"/>
          <c:tx>
            <c:v>0.5 M NaCl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'0-5'!$G$3:$G$23</c:f>
              <c:numCache>
                <c:formatCode>General</c:formatCode>
                <c:ptCount val="21"/>
                <c:pt idx="0">
                  <c:v>3</c:v>
                </c:pt>
                <c:pt idx="1">
                  <c:v>3.5</c:v>
                </c:pt>
                <c:pt idx="2">
                  <c:v>4</c:v>
                </c:pt>
                <c:pt idx="3">
                  <c:v>4.5</c:v>
                </c:pt>
                <c:pt idx="4">
                  <c:v>5</c:v>
                </c:pt>
                <c:pt idx="5">
                  <c:v>5.5</c:v>
                </c:pt>
                <c:pt idx="6">
                  <c:v>6</c:v>
                </c:pt>
                <c:pt idx="7">
                  <c:v>6.5</c:v>
                </c:pt>
                <c:pt idx="8">
                  <c:v>7</c:v>
                </c:pt>
                <c:pt idx="9">
                  <c:v>7.5</c:v>
                </c:pt>
                <c:pt idx="10">
                  <c:v>8</c:v>
                </c:pt>
                <c:pt idx="11">
                  <c:v>8.5</c:v>
                </c:pt>
                <c:pt idx="12">
                  <c:v>9</c:v>
                </c:pt>
                <c:pt idx="13">
                  <c:v>9.5</c:v>
                </c:pt>
                <c:pt idx="14">
                  <c:v>10</c:v>
                </c:pt>
                <c:pt idx="15">
                  <c:v>10.5</c:v>
                </c:pt>
                <c:pt idx="16">
                  <c:v>11</c:v>
                </c:pt>
              </c:numCache>
            </c:numRef>
          </c:xVal>
          <c:yVal>
            <c:numRef>
              <c:f>'0-5'!$Y$3:$Y$20</c:f>
              <c:numCache>
                <c:formatCode>0.00E+00</c:formatCode>
                <c:ptCount val="18"/>
                <c:pt idx="0">
                  <c:v>7.4735424299999996E-5</c:v>
                </c:pt>
                <c:pt idx="1">
                  <c:v>7.2787458000000006E-5</c:v>
                </c:pt>
                <c:pt idx="2">
                  <c:v>6.9969191000000003E-5</c:v>
                </c:pt>
                <c:pt idx="3">
                  <c:v>6.703730000000001E-5</c:v>
                </c:pt>
                <c:pt idx="4">
                  <c:v>6.476102E-5</c:v>
                </c:pt>
                <c:pt idx="5">
                  <c:v>6.3604199999999997E-5</c:v>
                </c:pt>
                <c:pt idx="6">
                  <c:v>6.3393100000000001E-5</c:v>
                </c:pt>
                <c:pt idx="7">
                  <c:v>6.3272400000000001E-5</c:v>
                </c:pt>
                <c:pt idx="8">
                  <c:v>6.2238599999999997E-5</c:v>
                </c:pt>
                <c:pt idx="9">
                  <c:v>5.9917680000000003E-5</c:v>
                </c:pt>
                <c:pt idx="10">
                  <c:v>5.6939869999999998E-5</c:v>
                </c:pt>
                <c:pt idx="11">
                  <c:v>5.4264577999999995E-5</c:v>
                </c:pt>
                <c:pt idx="12">
                  <c:v>5.2075663799999992E-5</c:v>
                </c:pt>
                <c:pt idx="13">
                  <c:v>4.9826167200000007E-5</c:v>
                </c:pt>
                <c:pt idx="14">
                  <c:v>4.672360316E-5</c:v>
                </c:pt>
                <c:pt idx="15">
                  <c:v>4.1015448533600004E-5</c:v>
                </c:pt>
                <c:pt idx="16">
                  <c:v>2.9102876459119999E-5</c:v>
                </c:pt>
              </c:numCache>
            </c:numRef>
          </c:yVal>
          <c:smooth val="1"/>
        </c:ser>
        <c:ser>
          <c:idx val="5"/>
          <c:order val="5"/>
          <c:tx>
            <c:v>0.6 M NaCl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'0-6'!$G$3:$G$22</c:f>
              <c:numCache>
                <c:formatCode>General</c:formatCode>
                <c:ptCount val="20"/>
                <c:pt idx="0">
                  <c:v>3</c:v>
                </c:pt>
                <c:pt idx="1">
                  <c:v>3.5</c:v>
                </c:pt>
                <c:pt idx="2">
                  <c:v>4</c:v>
                </c:pt>
                <c:pt idx="3">
                  <c:v>4.5</c:v>
                </c:pt>
                <c:pt idx="4">
                  <c:v>5</c:v>
                </c:pt>
                <c:pt idx="5">
                  <c:v>5.5</c:v>
                </c:pt>
                <c:pt idx="6">
                  <c:v>6</c:v>
                </c:pt>
                <c:pt idx="7">
                  <c:v>6.5</c:v>
                </c:pt>
                <c:pt idx="8">
                  <c:v>7</c:v>
                </c:pt>
                <c:pt idx="9">
                  <c:v>7.5</c:v>
                </c:pt>
                <c:pt idx="10">
                  <c:v>8</c:v>
                </c:pt>
                <c:pt idx="11">
                  <c:v>8.5</c:v>
                </c:pt>
                <c:pt idx="12">
                  <c:v>9</c:v>
                </c:pt>
                <c:pt idx="13">
                  <c:v>9.5</c:v>
                </c:pt>
                <c:pt idx="14">
                  <c:v>10</c:v>
                </c:pt>
                <c:pt idx="15">
                  <c:v>10.5</c:v>
                </c:pt>
                <c:pt idx="16">
                  <c:v>11</c:v>
                </c:pt>
              </c:numCache>
            </c:numRef>
          </c:xVal>
          <c:yVal>
            <c:numRef>
              <c:f>'0-6'!$Y$3:$Y$21</c:f>
              <c:numCache>
                <c:formatCode>0.00E+00</c:formatCode>
                <c:ptCount val="19"/>
                <c:pt idx="0">
                  <c:v>7.4605744799999989E-5</c:v>
                </c:pt>
                <c:pt idx="1">
                  <c:v>7.2793225999999997E-5</c:v>
                </c:pt>
                <c:pt idx="2">
                  <c:v>7.0126533000000011E-5</c:v>
                </c:pt>
                <c:pt idx="3">
                  <c:v>6.7370100000000007E-5</c:v>
                </c:pt>
                <c:pt idx="4">
                  <c:v>6.5296130000000002E-5</c:v>
                </c:pt>
                <c:pt idx="5">
                  <c:v>6.436488999999999E-5</c:v>
                </c:pt>
                <c:pt idx="6">
                  <c:v>6.4377299999999991E-5</c:v>
                </c:pt>
                <c:pt idx="7">
                  <c:v>6.4435999999999991E-5</c:v>
                </c:pt>
                <c:pt idx="8">
                  <c:v>6.351430000000001E-5</c:v>
                </c:pt>
                <c:pt idx="9">
                  <c:v>6.1284820000000008E-5</c:v>
                </c:pt>
                <c:pt idx="10">
                  <c:v>5.8434389999999997E-5</c:v>
                </c:pt>
                <c:pt idx="11">
                  <c:v>5.5933811E-5</c:v>
                </c:pt>
                <c:pt idx="12">
                  <c:v>5.3945844399999994E-5</c:v>
                </c:pt>
                <c:pt idx="13">
                  <c:v>5.184871431E-5</c:v>
                </c:pt>
                <c:pt idx="14">
                  <c:v>4.8697693654000001E-5</c:v>
                </c:pt>
                <c:pt idx="15">
                  <c:v>4.2565767421200003E-5</c:v>
                </c:pt>
                <c:pt idx="16">
                  <c:v>2.9826476382380001E-5</c:v>
                </c:pt>
              </c:numCache>
            </c:numRef>
          </c:yVal>
          <c:smooth val="1"/>
        </c:ser>
        <c:ser>
          <c:idx val="6"/>
          <c:order val="6"/>
          <c:tx>
            <c:v>0.7 M NaCl</c:v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'0-7'!$G$3:$G$22</c:f>
              <c:numCache>
                <c:formatCode>General</c:formatCode>
                <c:ptCount val="20"/>
                <c:pt idx="0">
                  <c:v>3</c:v>
                </c:pt>
                <c:pt idx="1">
                  <c:v>3.5</c:v>
                </c:pt>
                <c:pt idx="2">
                  <c:v>4</c:v>
                </c:pt>
                <c:pt idx="3">
                  <c:v>4.5</c:v>
                </c:pt>
                <c:pt idx="4">
                  <c:v>5</c:v>
                </c:pt>
                <c:pt idx="5">
                  <c:v>5.5</c:v>
                </c:pt>
                <c:pt idx="6">
                  <c:v>6</c:v>
                </c:pt>
                <c:pt idx="7">
                  <c:v>6.5</c:v>
                </c:pt>
                <c:pt idx="8">
                  <c:v>7</c:v>
                </c:pt>
                <c:pt idx="9">
                  <c:v>7.5</c:v>
                </c:pt>
                <c:pt idx="10">
                  <c:v>8</c:v>
                </c:pt>
                <c:pt idx="11">
                  <c:v>8.5</c:v>
                </c:pt>
                <c:pt idx="12">
                  <c:v>9</c:v>
                </c:pt>
                <c:pt idx="13">
                  <c:v>9.5</c:v>
                </c:pt>
                <c:pt idx="14">
                  <c:v>10</c:v>
                </c:pt>
                <c:pt idx="15">
                  <c:v>10.5</c:v>
                </c:pt>
                <c:pt idx="16">
                  <c:v>11</c:v>
                </c:pt>
              </c:numCache>
            </c:numRef>
          </c:xVal>
          <c:yVal>
            <c:numRef>
              <c:f>'0-7'!$Y$3:$Y$22</c:f>
              <c:numCache>
                <c:formatCode>0.00E+00</c:formatCode>
                <c:ptCount val="20"/>
                <c:pt idx="0">
                  <c:v>7.4524191199999999E-5</c:v>
                </c:pt>
                <c:pt idx="1">
                  <c:v>7.2828003000000003E-5</c:v>
                </c:pt>
                <c:pt idx="2">
                  <c:v>7.0293760999999994E-5</c:v>
                </c:pt>
                <c:pt idx="3">
                  <c:v>6.7691430000000003E-5</c:v>
                </c:pt>
                <c:pt idx="4">
                  <c:v>6.5795859999999995E-5</c:v>
                </c:pt>
                <c:pt idx="5">
                  <c:v>6.5061939999999991E-5</c:v>
                </c:pt>
                <c:pt idx="6">
                  <c:v>6.5275800000000003E-5</c:v>
                </c:pt>
                <c:pt idx="7">
                  <c:v>6.5503300000000007E-5</c:v>
                </c:pt>
                <c:pt idx="8">
                  <c:v>6.4697800000000009E-5</c:v>
                </c:pt>
                <c:pt idx="9">
                  <c:v>6.2564179999999992E-5</c:v>
                </c:pt>
                <c:pt idx="10">
                  <c:v>5.9833929999999999E-5</c:v>
                </c:pt>
                <c:pt idx="11">
                  <c:v>5.7491320000000004E-5</c:v>
                </c:pt>
                <c:pt idx="12">
                  <c:v>5.56749891E-5</c:v>
                </c:pt>
                <c:pt idx="13">
                  <c:v>5.3693374189999992E-5</c:v>
                </c:pt>
                <c:pt idx="14">
                  <c:v>5.0454986281999995E-5</c:v>
                </c:pt>
                <c:pt idx="15">
                  <c:v>4.3905556579400007E-5</c:v>
                </c:pt>
                <c:pt idx="16">
                  <c:v>3.0434948326870001E-5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7684160"/>
        <c:axId val="1097684552"/>
      </c:scatterChart>
      <c:valAx>
        <c:axId val="1097684160"/>
        <c:scaling>
          <c:orientation val="minMax"/>
          <c:max val="11"/>
          <c:min val="3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pH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7684552"/>
        <c:crosses val="autoZero"/>
        <c:crossBetween val="midCat"/>
      </c:valAx>
      <c:valAx>
        <c:axId val="109768455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Adsorbed As(V) (M)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76841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323850</xdr:colOff>
      <xdr:row>2</xdr:row>
      <xdr:rowOff>33337</xdr:rowOff>
    </xdr:from>
    <xdr:to>
      <xdr:col>9</xdr:col>
      <xdr:colOff>19050</xdr:colOff>
      <xdr:row>16</xdr:row>
      <xdr:rowOff>109537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L15" sqref="L15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9"/>
  <sheetViews>
    <sheetView topLeftCell="E1" workbookViewId="0">
      <selection activeCell="Y1" sqref="Y1:Y1048576"/>
    </sheetView>
  </sheetViews>
  <sheetFormatPr defaultRowHeight="15" x14ac:dyDescent="0.25"/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Y1" t="s">
        <v>24</v>
      </c>
    </row>
    <row r="2" spans="1:25" x14ac:dyDescent="0.25">
      <c r="A2">
        <v>5</v>
      </c>
      <c r="B2" t="s">
        <v>22</v>
      </c>
      <c r="C2">
        <v>1</v>
      </c>
      <c r="D2">
        <v>-99</v>
      </c>
      <c r="E2">
        <v>-99</v>
      </c>
      <c r="F2">
        <v>-99</v>
      </c>
      <c r="G2">
        <v>3</v>
      </c>
      <c r="H2">
        <v>4</v>
      </c>
      <c r="I2">
        <v>-99</v>
      </c>
      <c r="J2">
        <v>25</v>
      </c>
      <c r="K2">
        <v>-1.22886E-3</v>
      </c>
      <c r="L2">
        <v>9.9619899999999997E-2</v>
      </c>
      <c r="M2">
        <v>1</v>
      </c>
      <c r="N2">
        <v>1.12886E-3</v>
      </c>
      <c r="O2">
        <v>0.56658600000000003</v>
      </c>
      <c r="P2" s="1">
        <v>3.1017000000000002E-16</v>
      </c>
      <c r="Q2" s="1">
        <v>3.1446999999999997E-8</v>
      </c>
      <c r="R2" s="1">
        <v>8.8509000000000002E-5</v>
      </c>
      <c r="S2" s="1">
        <v>1.1459E-5</v>
      </c>
      <c r="T2" s="1">
        <v>0</v>
      </c>
      <c r="U2" s="1">
        <v>0</v>
      </c>
      <c r="V2" s="1">
        <v>0</v>
      </c>
      <c r="Y2" s="1"/>
    </row>
    <row r="3" spans="1:25" x14ac:dyDescent="0.25">
      <c r="A3">
        <v>7</v>
      </c>
      <c r="B3" t="s">
        <v>23</v>
      </c>
      <c r="C3">
        <v>1</v>
      </c>
      <c r="D3">
        <v>-99</v>
      </c>
      <c r="E3">
        <v>0</v>
      </c>
      <c r="F3">
        <v>1</v>
      </c>
      <c r="G3">
        <v>3</v>
      </c>
      <c r="H3">
        <v>9.9831400000000006</v>
      </c>
      <c r="I3">
        <v>-99</v>
      </c>
      <c r="J3">
        <v>25</v>
      </c>
      <c r="K3">
        <v>-1.2201E-3</v>
      </c>
      <c r="L3">
        <v>9.9550799999999995E-2</v>
      </c>
      <c r="M3">
        <v>1</v>
      </c>
      <c r="N3">
        <v>1.12484E-3</v>
      </c>
      <c r="O3">
        <v>0.56495799999999996</v>
      </c>
      <c r="P3" s="1">
        <v>7.3236000000000001E-17</v>
      </c>
      <c r="Q3" s="1">
        <v>7.4279E-9</v>
      </c>
      <c r="R3" s="1">
        <v>2.0908999999999999E-5</v>
      </c>
      <c r="S3" s="1">
        <v>2.7072999999999999E-6</v>
      </c>
      <c r="T3" s="1">
        <v>5.0784999999999998E-9</v>
      </c>
      <c r="U3" s="1">
        <v>9.2530999999999995E-6</v>
      </c>
      <c r="V3" s="1">
        <v>6.7118000000000004E-5</v>
      </c>
      <c r="Y3" s="1">
        <f t="shared" ref="Y3:Y19" si="0">T3+U3+V3</f>
        <v>7.6376178500000007E-5</v>
      </c>
    </row>
    <row r="4" spans="1:25" x14ac:dyDescent="0.25">
      <c r="A4">
        <v>8</v>
      </c>
      <c r="B4" t="s">
        <v>23</v>
      </c>
      <c r="C4">
        <v>1</v>
      </c>
      <c r="D4">
        <v>-99</v>
      </c>
      <c r="E4">
        <v>0</v>
      </c>
      <c r="F4">
        <v>1</v>
      </c>
      <c r="G4">
        <v>3.5</v>
      </c>
      <c r="H4">
        <v>9.2850800000000007</v>
      </c>
      <c r="I4">
        <v>-99</v>
      </c>
      <c r="J4">
        <v>25</v>
      </c>
      <c r="K4">
        <v>-3.8599199999999999E-4</v>
      </c>
      <c r="L4">
        <v>9.9558400000000005E-2</v>
      </c>
      <c r="M4">
        <v>1.0000199999999999</v>
      </c>
      <c r="N4">
        <v>1.12769E-3</v>
      </c>
      <c r="O4">
        <v>0.56633699999999998</v>
      </c>
      <c r="P4" s="1">
        <v>8.9157999999999998E-16</v>
      </c>
      <c r="Q4" s="1">
        <v>2.8594999999999999E-8</v>
      </c>
      <c r="R4" s="1">
        <v>2.5454000000000001E-5</v>
      </c>
      <c r="S4" s="1">
        <v>1.0421999999999999E-6</v>
      </c>
      <c r="T4" s="1">
        <v>1.5274000000000002E-8</v>
      </c>
      <c r="U4" s="1">
        <v>1.4979E-5</v>
      </c>
      <c r="V4" s="1">
        <v>5.8480000000000003E-5</v>
      </c>
      <c r="Y4" s="1">
        <f t="shared" si="0"/>
        <v>7.3474273999999998E-5</v>
      </c>
    </row>
    <row r="5" spans="1:25" x14ac:dyDescent="0.25">
      <c r="A5">
        <v>9</v>
      </c>
      <c r="B5" t="s">
        <v>23</v>
      </c>
      <c r="C5">
        <v>1</v>
      </c>
      <c r="D5">
        <v>-99</v>
      </c>
      <c r="E5">
        <v>0</v>
      </c>
      <c r="F5">
        <v>1</v>
      </c>
      <c r="G5">
        <v>4</v>
      </c>
      <c r="H5">
        <v>8.5693999999999999</v>
      </c>
      <c r="I5">
        <v>-99</v>
      </c>
      <c r="J5">
        <v>25</v>
      </c>
      <c r="K5">
        <v>-1.2202200000000001E-4</v>
      </c>
      <c r="L5">
        <v>9.9565000000000001E-2</v>
      </c>
      <c r="M5">
        <v>1.0000199999999999</v>
      </c>
      <c r="N5">
        <v>1.13068E-3</v>
      </c>
      <c r="O5">
        <v>0.56779999999999997</v>
      </c>
      <c r="P5" s="1">
        <v>1.0469E-14</v>
      </c>
      <c r="Q5" s="1">
        <v>1.0617E-7</v>
      </c>
      <c r="R5" s="1">
        <v>2.9886000000000002E-5</v>
      </c>
      <c r="S5" s="1">
        <v>3.8696000000000002E-7</v>
      </c>
      <c r="T5" s="1">
        <v>3.9488000000000003E-8</v>
      </c>
      <c r="U5" s="1">
        <v>2.1775000000000001E-5</v>
      </c>
      <c r="V5" s="1">
        <v>4.7803999999999998E-5</v>
      </c>
      <c r="Y5" s="1">
        <f t="shared" si="0"/>
        <v>6.9618487999999998E-5</v>
      </c>
    </row>
    <row r="6" spans="1:25" x14ac:dyDescent="0.25">
      <c r="A6">
        <v>10</v>
      </c>
      <c r="B6" t="s">
        <v>23</v>
      </c>
      <c r="C6">
        <v>1</v>
      </c>
      <c r="D6">
        <v>-99</v>
      </c>
      <c r="E6">
        <v>0</v>
      </c>
      <c r="F6">
        <v>1</v>
      </c>
      <c r="G6">
        <v>4.5</v>
      </c>
      <c r="H6">
        <v>8.0089600000000001</v>
      </c>
      <c r="I6">
        <v>-99</v>
      </c>
      <c r="J6">
        <v>25</v>
      </c>
      <c r="K6" s="1">
        <v>-3.8254899999999999E-5</v>
      </c>
      <c r="L6">
        <v>9.9571599999999996E-2</v>
      </c>
      <c r="M6">
        <v>1.0000199999999999</v>
      </c>
      <c r="N6">
        <v>1.1339099999999999E-3</v>
      </c>
      <c r="O6">
        <v>0.56938299999999997</v>
      </c>
      <c r="P6" s="1">
        <v>1.1909E-13</v>
      </c>
      <c r="Q6" s="1">
        <v>3.8192999999999998E-7</v>
      </c>
      <c r="R6" s="1">
        <v>3.3995999999999998E-5</v>
      </c>
      <c r="S6" s="1">
        <v>1.3918999999999999E-7</v>
      </c>
      <c r="T6" s="1">
        <v>9.2275999999999999E-8</v>
      </c>
      <c r="U6" s="1">
        <v>2.9030000000000002E-5</v>
      </c>
      <c r="V6" s="1">
        <v>3.6358E-5</v>
      </c>
      <c r="Y6" s="1">
        <f t="shared" si="0"/>
        <v>6.5480275999999998E-5</v>
      </c>
    </row>
    <row r="7" spans="1:25" x14ac:dyDescent="0.25">
      <c r="A7">
        <v>11</v>
      </c>
      <c r="B7" t="s">
        <v>23</v>
      </c>
      <c r="C7">
        <v>1</v>
      </c>
      <c r="D7">
        <v>-99</v>
      </c>
      <c r="E7">
        <v>0</v>
      </c>
      <c r="F7">
        <v>1</v>
      </c>
      <c r="G7">
        <v>5</v>
      </c>
      <c r="H7">
        <v>7.0803900000000004</v>
      </c>
      <c r="I7">
        <v>-99</v>
      </c>
      <c r="J7">
        <v>25</v>
      </c>
      <c r="K7" s="1">
        <v>-1.09111E-5</v>
      </c>
      <c r="L7">
        <v>9.9579000000000001E-2</v>
      </c>
      <c r="M7">
        <v>1.0000199999999999</v>
      </c>
      <c r="N7">
        <v>1.1375000000000001E-3</v>
      </c>
      <c r="O7">
        <v>0.57114900000000002</v>
      </c>
      <c r="P7" s="1">
        <v>1.2913999999999999E-12</v>
      </c>
      <c r="Q7" s="1">
        <v>1.3095999999999999E-6</v>
      </c>
      <c r="R7" s="1">
        <v>3.6862E-5</v>
      </c>
      <c r="S7" s="1">
        <v>4.7727000000000001E-8</v>
      </c>
      <c r="T7" s="1">
        <v>2.0345000000000001E-7</v>
      </c>
      <c r="U7" s="1">
        <v>3.6089E-5</v>
      </c>
      <c r="V7" s="1">
        <v>2.5486E-5</v>
      </c>
      <c r="Y7" s="1">
        <f t="shared" si="0"/>
        <v>6.1778450000000008E-5</v>
      </c>
    </row>
    <row r="8" spans="1:25" x14ac:dyDescent="0.25">
      <c r="A8">
        <v>12</v>
      </c>
      <c r="B8" t="s">
        <v>23</v>
      </c>
      <c r="C8">
        <v>1</v>
      </c>
      <c r="D8">
        <v>-99</v>
      </c>
      <c r="E8">
        <v>0</v>
      </c>
      <c r="F8">
        <v>1</v>
      </c>
      <c r="G8">
        <v>5.5</v>
      </c>
      <c r="H8">
        <v>6.4130500000000001</v>
      </c>
      <c r="I8">
        <v>-99</v>
      </c>
      <c r="J8">
        <v>25</v>
      </c>
      <c r="K8" s="1">
        <v>2.74284E-7</v>
      </c>
      <c r="L8">
        <v>9.9589399999999995E-2</v>
      </c>
      <c r="M8">
        <v>1.0000199999999999</v>
      </c>
      <c r="N8">
        <v>1.1415100000000001E-3</v>
      </c>
      <c r="O8">
        <v>0.57312099999999999</v>
      </c>
      <c r="P8" s="1">
        <v>1.2896E-11</v>
      </c>
      <c r="Q8" s="1">
        <v>4.1351999999999998E-6</v>
      </c>
      <c r="R8" s="1">
        <v>3.6807000000000002E-5</v>
      </c>
      <c r="S8" s="1">
        <v>1.5069999999999999E-8</v>
      </c>
      <c r="T8" s="1">
        <v>4.3931999999999999E-7</v>
      </c>
      <c r="U8" s="1">
        <v>4.2348999999999997E-5</v>
      </c>
      <c r="V8" s="1">
        <v>1.6252E-5</v>
      </c>
      <c r="Y8" s="1">
        <f t="shared" si="0"/>
        <v>5.9040319999999999E-5</v>
      </c>
    </row>
    <row r="9" spans="1:25" x14ac:dyDescent="0.25">
      <c r="A9">
        <v>13</v>
      </c>
      <c r="B9" t="s">
        <v>23</v>
      </c>
      <c r="C9">
        <v>1</v>
      </c>
      <c r="D9">
        <v>-99</v>
      </c>
      <c r="E9">
        <v>0</v>
      </c>
      <c r="F9">
        <v>1</v>
      </c>
      <c r="G9">
        <v>6</v>
      </c>
      <c r="H9">
        <v>5.6806000000000001</v>
      </c>
      <c r="I9">
        <v>-99</v>
      </c>
      <c r="J9">
        <v>25</v>
      </c>
      <c r="K9" s="1">
        <v>9.9770699999999993E-6</v>
      </c>
      <c r="L9">
        <v>9.9607200000000007E-2</v>
      </c>
      <c r="M9">
        <v>1.0000199999999999</v>
      </c>
      <c r="N9">
        <v>1.1457399999999999E-3</v>
      </c>
      <c r="O9">
        <v>0.57518199999999997</v>
      </c>
      <c r="P9" s="1">
        <v>1.1032E-10</v>
      </c>
      <c r="Q9" s="1">
        <v>1.1185999999999999E-5</v>
      </c>
      <c r="R9" s="1">
        <v>3.1483999999999999E-5</v>
      </c>
      <c r="S9" s="1">
        <v>4.0761999999999996E-9</v>
      </c>
      <c r="T9" s="1">
        <v>9.6761999999999998E-7</v>
      </c>
      <c r="U9" s="1">
        <v>4.7193E-5</v>
      </c>
      <c r="V9" s="1">
        <v>9.1633999999999994E-6</v>
      </c>
      <c r="Y9" s="1">
        <f t="shared" si="0"/>
        <v>5.7324020000000003E-5</v>
      </c>
    </row>
    <row r="10" spans="1:25" x14ac:dyDescent="0.25">
      <c r="A10">
        <v>14</v>
      </c>
      <c r="B10" t="s">
        <v>23</v>
      </c>
      <c r="C10">
        <v>1</v>
      </c>
      <c r="D10">
        <v>-99</v>
      </c>
      <c r="E10">
        <v>0</v>
      </c>
      <c r="F10">
        <v>1</v>
      </c>
      <c r="G10">
        <v>6.5</v>
      </c>
      <c r="H10">
        <v>4.7704899999999997</v>
      </c>
      <c r="I10">
        <v>-99</v>
      </c>
      <c r="J10">
        <v>25</v>
      </c>
      <c r="K10" s="1">
        <v>2.2863100000000001E-5</v>
      </c>
      <c r="L10">
        <v>9.9634299999999995E-2</v>
      </c>
      <c r="M10">
        <v>1.0000199999999999</v>
      </c>
      <c r="N10">
        <v>1.1495699999999999E-3</v>
      </c>
      <c r="O10">
        <v>0.57701599999999997</v>
      </c>
      <c r="P10" s="1">
        <v>7.2389999999999995E-10</v>
      </c>
      <c r="Q10" s="1">
        <v>2.3207999999999999E-5</v>
      </c>
      <c r="R10" s="1">
        <v>2.0655000000000001E-5</v>
      </c>
      <c r="S10" s="1">
        <v>8.4563999999999999E-10</v>
      </c>
      <c r="T10" s="1">
        <v>2.2475000000000001E-6</v>
      </c>
      <c r="U10" s="1">
        <v>4.9539000000000001E-5</v>
      </c>
      <c r="V10" s="1">
        <v>4.3471000000000003E-6</v>
      </c>
      <c r="Y10" s="1">
        <f t="shared" si="0"/>
        <v>5.6133600000000001E-5</v>
      </c>
    </row>
    <row r="11" spans="1:25" x14ac:dyDescent="0.25">
      <c r="A11">
        <v>15</v>
      </c>
      <c r="B11" t="s">
        <v>23</v>
      </c>
      <c r="C11">
        <v>1</v>
      </c>
      <c r="D11">
        <v>-99</v>
      </c>
      <c r="E11">
        <v>0</v>
      </c>
      <c r="F11">
        <v>1</v>
      </c>
      <c r="G11">
        <v>7</v>
      </c>
      <c r="H11">
        <v>3.8210099999999998</v>
      </c>
      <c r="I11">
        <v>-99</v>
      </c>
      <c r="J11">
        <v>25</v>
      </c>
      <c r="K11" s="1">
        <v>3.5408899999999999E-5</v>
      </c>
      <c r="L11">
        <v>9.9661600000000003E-2</v>
      </c>
      <c r="M11">
        <v>1.0000199999999999</v>
      </c>
      <c r="N11">
        <v>1.15262E-3</v>
      </c>
      <c r="O11">
        <v>0.578457</v>
      </c>
      <c r="P11" s="1">
        <v>3.4921E-9</v>
      </c>
      <c r="Q11" s="1">
        <v>3.5398000000000002E-5</v>
      </c>
      <c r="R11" s="1">
        <v>9.9619000000000003E-6</v>
      </c>
      <c r="S11" s="1">
        <v>1.2897E-10</v>
      </c>
      <c r="T11" s="1">
        <v>5.3283000000000003E-6</v>
      </c>
      <c r="U11" s="1">
        <v>4.7611999999999997E-5</v>
      </c>
      <c r="V11" s="1">
        <v>1.6938E-6</v>
      </c>
      <c r="Y11" s="1">
        <f t="shared" si="0"/>
        <v>5.4634099999999999E-5</v>
      </c>
    </row>
    <row r="12" spans="1:25" x14ac:dyDescent="0.25">
      <c r="A12">
        <v>16</v>
      </c>
      <c r="B12" t="s">
        <v>23</v>
      </c>
      <c r="C12">
        <v>1</v>
      </c>
      <c r="D12">
        <v>-99</v>
      </c>
      <c r="E12">
        <v>0</v>
      </c>
      <c r="F12">
        <v>1</v>
      </c>
      <c r="G12">
        <v>7.5</v>
      </c>
      <c r="H12">
        <v>2.95255</v>
      </c>
      <c r="I12">
        <v>-99</v>
      </c>
      <c r="J12">
        <v>25</v>
      </c>
      <c r="K12" s="1">
        <v>4.4368800000000001E-5</v>
      </c>
      <c r="L12">
        <v>9.9682999999999994E-2</v>
      </c>
      <c r="M12">
        <v>1.0000199999999999</v>
      </c>
      <c r="N12">
        <v>1.15559E-3</v>
      </c>
      <c r="O12">
        <v>0.57987699999999998</v>
      </c>
      <c r="P12" s="1">
        <v>1.3722E-8</v>
      </c>
      <c r="Q12" s="1">
        <v>4.3980999999999998E-5</v>
      </c>
      <c r="R12" s="1">
        <v>3.9138999999999999E-6</v>
      </c>
      <c r="S12" s="1">
        <v>1.6023E-11</v>
      </c>
      <c r="T12" s="1">
        <v>1.1413000000000001E-5</v>
      </c>
      <c r="U12" s="1">
        <v>4.0114999999999998E-5</v>
      </c>
      <c r="V12" s="1">
        <v>5.6128999999999997E-7</v>
      </c>
      <c r="Y12" s="1">
        <f t="shared" si="0"/>
        <v>5.2089289999999995E-5</v>
      </c>
    </row>
    <row r="13" spans="1:25" x14ac:dyDescent="0.25">
      <c r="A13">
        <v>17</v>
      </c>
      <c r="B13" t="s">
        <v>23</v>
      </c>
      <c r="C13">
        <v>1</v>
      </c>
      <c r="D13">
        <v>-99</v>
      </c>
      <c r="E13">
        <v>0</v>
      </c>
      <c r="F13">
        <v>1</v>
      </c>
      <c r="G13">
        <v>8</v>
      </c>
      <c r="H13">
        <v>2.0205600000000001</v>
      </c>
      <c r="I13">
        <v>-99</v>
      </c>
      <c r="J13">
        <v>25</v>
      </c>
      <c r="K13" s="1">
        <v>5.1348599999999998E-5</v>
      </c>
      <c r="L13">
        <v>9.9701499999999998E-2</v>
      </c>
      <c r="M13">
        <v>1.0000199999999999</v>
      </c>
      <c r="N13">
        <v>1.1594699999999999E-3</v>
      </c>
      <c r="O13">
        <v>0.58175100000000002</v>
      </c>
      <c r="P13" s="1">
        <v>4.9337E-8</v>
      </c>
      <c r="Q13" s="1">
        <v>5.0000000000000002E-5</v>
      </c>
      <c r="R13" s="1">
        <v>1.407E-6</v>
      </c>
      <c r="S13" s="1">
        <v>1.8214999999999999E-12</v>
      </c>
      <c r="T13" s="1">
        <v>1.9879000000000001E-5</v>
      </c>
      <c r="U13" s="1">
        <v>2.8498999999999999E-5</v>
      </c>
      <c r="V13" s="1">
        <v>1.6266E-7</v>
      </c>
      <c r="Y13" s="1">
        <f t="shared" si="0"/>
        <v>4.8540660000000005E-5</v>
      </c>
    </row>
    <row r="14" spans="1:25" x14ac:dyDescent="0.25">
      <c r="A14">
        <v>18</v>
      </c>
      <c r="B14" t="s">
        <v>23</v>
      </c>
      <c r="C14">
        <v>1</v>
      </c>
      <c r="D14">
        <v>-99</v>
      </c>
      <c r="E14">
        <v>0</v>
      </c>
      <c r="F14">
        <v>1</v>
      </c>
      <c r="G14">
        <v>8.5</v>
      </c>
      <c r="H14">
        <v>1.0918699999999999</v>
      </c>
      <c r="I14">
        <v>-99</v>
      </c>
      <c r="J14">
        <v>25</v>
      </c>
      <c r="K14" s="1">
        <v>5.8888899999999998E-5</v>
      </c>
      <c r="L14">
        <v>9.9720000000000003E-2</v>
      </c>
      <c r="M14">
        <v>1.0000199999999999</v>
      </c>
      <c r="N14">
        <v>1.16457E-3</v>
      </c>
      <c r="O14">
        <v>0.584229</v>
      </c>
      <c r="P14" s="1">
        <v>1.7027E-7</v>
      </c>
      <c r="Q14" s="1">
        <v>5.4559999999999999E-5</v>
      </c>
      <c r="R14" s="1">
        <v>4.8550000000000005E-7</v>
      </c>
      <c r="S14" s="1">
        <v>1.9876E-13</v>
      </c>
      <c r="T14" s="1">
        <v>2.7821E-5</v>
      </c>
      <c r="U14" s="1">
        <v>1.6920000000000001E-5</v>
      </c>
      <c r="V14" s="1">
        <v>4.0966999999999999E-8</v>
      </c>
      <c r="Y14" s="1">
        <f t="shared" si="0"/>
        <v>4.4781966999999995E-5</v>
      </c>
    </row>
    <row r="15" spans="1:25" x14ac:dyDescent="0.25">
      <c r="A15">
        <v>19</v>
      </c>
      <c r="B15" t="s">
        <v>23</v>
      </c>
      <c r="C15">
        <v>1</v>
      </c>
      <c r="D15">
        <v>-99</v>
      </c>
      <c r="E15">
        <v>0</v>
      </c>
      <c r="F15">
        <v>1</v>
      </c>
      <c r="G15">
        <v>9</v>
      </c>
      <c r="H15">
        <v>0.20916499999999999</v>
      </c>
      <c r="I15">
        <v>-99</v>
      </c>
      <c r="J15">
        <v>25</v>
      </c>
      <c r="K15" s="1">
        <v>7.1818300000000003E-5</v>
      </c>
      <c r="L15">
        <v>9.9743999999999999E-2</v>
      </c>
      <c r="M15">
        <v>1.0000199999999999</v>
      </c>
      <c r="N15">
        <v>1.1706799999999999E-3</v>
      </c>
      <c r="O15">
        <v>0.58718099999999995</v>
      </c>
      <c r="P15" s="1">
        <v>5.7293999999999999E-7</v>
      </c>
      <c r="Q15" s="1">
        <v>5.8050000000000002E-5</v>
      </c>
      <c r="R15" s="1">
        <v>1.6334000000000001E-7</v>
      </c>
      <c r="S15" s="1">
        <v>2.1145000000000001E-14</v>
      </c>
      <c r="T15" s="1">
        <v>3.2676999999999999E-5</v>
      </c>
      <c r="U15" s="1">
        <v>8.5254999999999999E-6</v>
      </c>
      <c r="V15" s="1">
        <v>8.8551999999999998E-9</v>
      </c>
      <c r="Y15" s="1">
        <f t="shared" si="0"/>
        <v>4.1211355199999997E-5</v>
      </c>
    </row>
    <row r="16" spans="1:25" x14ac:dyDescent="0.25">
      <c r="A16">
        <v>20</v>
      </c>
      <c r="B16" t="s">
        <v>23</v>
      </c>
      <c r="C16">
        <v>1</v>
      </c>
      <c r="D16">
        <v>-99</v>
      </c>
      <c r="E16">
        <v>0</v>
      </c>
      <c r="F16">
        <v>1</v>
      </c>
      <c r="G16">
        <v>9.5</v>
      </c>
      <c r="H16">
        <v>-0.60127399999999998</v>
      </c>
      <c r="I16">
        <v>-99</v>
      </c>
      <c r="J16">
        <v>25</v>
      </c>
      <c r="K16">
        <v>1.04177E-4</v>
      </c>
      <c r="L16">
        <v>9.9789000000000003E-2</v>
      </c>
      <c r="M16">
        <v>1.0000199999999999</v>
      </c>
      <c r="N16">
        <v>1.17717E-3</v>
      </c>
      <c r="O16">
        <v>0.59020499999999998</v>
      </c>
      <c r="P16" s="1">
        <v>1.8881E-6</v>
      </c>
      <c r="Q16" s="1">
        <v>6.0479999999999997E-5</v>
      </c>
      <c r="R16" s="1">
        <v>5.3809999999999997E-8</v>
      </c>
      <c r="S16" s="1">
        <v>2.2027000000000001E-15</v>
      </c>
      <c r="T16" s="1">
        <v>3.3874000000000001E-5</v>
      </c>
      <c r="U16" s="1">
        <v>3.6996000000000001E-6</v>
      </c>
      <c r="V16" s="1">
        <v>1.6086E-9</v>
      </c>
      <c r="Y16" s="1">
        <f t="shared" si="0"/>
        <v>3.7575208600000004E-5</v>
      </c>
    </row>
    <row r="17" spans="1:25" x14ac:dyDescent="0.25">
      <c r="A17">
        <v>21</v>
      </c>
      <c r="B17" t="s">
        <v>23</v>
      </c>
      <c r="C17">
        <v>1</v>
      </c>
      <c r="D17">
        <v>-99</v>
      </c>
      <c r="E17">
        <v>0</v>
      </c>
      <c r="F17">
        <v>1</v>
      </c>
      <c r="G17">
        <v>10</v>
      </c>
      <c r="H17">
        <v>-1.3527499999999999</v>
      </c>
      <c r="I17">
        <v>-99</v>
      </c>
      <c r="J17">
        <v>25</v>
      </c>
      <c r="K17">
        <v>1.98474E-4</v>
      </c>
      <c r="L17">
        <v>9.9900199999999995E-2</v>
      </c>
      <c r="M17">
        <v>1.0000199999999999</v>
      </c>
      <c r="N17">
        <v>1.1827000000000001E-3</v>
      </c>
      <c r="O17">
        <v>0.59238800000000003</v>
      </c>
      <c r="P17" s="1">
        <v>5.9569999999999999E-6</v>
      </c>
      <c r="Q17" s="1">
        <v>6.0304999999999999E-5</v>
      </c>
      <c r="R17" s="1">
        <v>1.6963000000000001E-8</v>
      </c>
      <c r="S17" s="1">
        <v>2.1956000000000001E-16</v>
      </c>
      <c r="T17" s="1">
        <v>3.2339000000000003E-5</v>
      </c>
      <c r="U17" s="1">
        <v>1.3797000000000001E-6</v>
      </c>
      <c r="V17" s="1">
        <v>2.3433999999999999E-10</v>
      </c>
      <c r="Y17" s="1">
        <f t="shared" si="0"/>
        <v>3.3718934340000007E-5</v>
      </c>
    </row>
    <row r="18" spans="1:25" x14ac:dyDescent="0.25">
      <c r="A18">
        <v>22</v>
      </c>
      <c r="B18" t="s">
        <v>23</v>
      </c>
      <c r="C18">
        <v>1</v>
      </c>
      <c r="D18">
        <v>-99</v>
      </c>
      <c r="E18">
        <v>0</v>
      </c>
      <c r="F18">
        <v>1</v>
      </c>
      <c r="G18">
        <v>10.5</v>
      </c>
      <c r="H18">
        <v>-2.06338</v>
      </c>
      <c r="I18">
        <v>-99</v>
      </c>
      <c r="J18">
        <v>25</v>
      </c>
      <c r="K18">
        <v>4.8684200000000003E-4</v>
      </c>
      <c r="L18">
        <v>0.100215</v>
      </c>
      <c r="M18">
        <v>1.0000199999999999</v>
      </c>
      <c r="N18">
        <v>1.1855399999999999E-3</v>
      </c>
      <c r="O18">
        <v>0.59209599999999996</v>
      </c>
      <c r="P18" s="1">
        <v>1.6833999999999998E-5</v>
      </c>
      <c r="Q18" s="1">
        <v>5.3798999999999998E-5</v>
      </c>
      <c r="R18" s="1">
        <v>4.7822000000000003E-9</v>
      </c>
      <c r="S18" s="1">
        <v>1.9567999999999999E-17</v>
      </c>
      <c r="T18" s="1">
        <v>2.8929E-5</v>
      </c>
      <c r="U18" s="1">
        <v>4.3044999999999999E-7</v>
      </c>
      <c r="V18" s="1">
        <v>2.5498000000000001E-11</v>
      </c>
      <c r="Y18" s="1">
        <f t="shared" si="0"/>
        <v>2.9359475497999998E-5</v>
      </c>
    </row>
    <row r="19" spans="1:25" x14ac:dyDescent="0.25">
      <c r="A19">
        <v>23</v>
      </c>
      <c r="B19" t="s">
        <v>23</v>
      </c>
      <c r="C19">
        <v>1</v>
      </c>
      <c r="D19">
        <v>-99</v>
      </c>
      <c r="E19">
        <v>0</v>
      </c>
      <c r="F19">
        <v>1</v>
      </c>
      <c r="G19">
        <v>11</v>
      </c>
      <c r="H19">
        <v>-2.7663500000000001</v>
      </c>
      <c r="I19">
        <v>-99</v>
      </c>
      <c r="J19">
        <v>25</v>
      </c>
      <c r="K19">
        <v>1.38036E-3</v>
      </c>
      <c r="L19">
        <v>0.10115</v>
      </c>
      <c r="M19">
        <v>1.00003</v>
      </c>
      <c r="N19">
        <v>1.1852500000000001E-3</v>
      </c>
      <c r="O19">
        <v>0.58677100000000004</v>
      </c>
      <c r="P19" s="1">
        <v>3.8695999999999997E-5</v>
      </c>
      <c r="Q19" s="1">
        <v>3.8911000000000001E-5</v>
      </c>
      <c r="R19" s="1">
        <v>1.0916E-9</v>
      </c>
      <c r="S19" s="1">
        <v>1.4112E-18</v>
      </c>
      <c r="T19" s="1">
        <v>2.2286999999999999E-5</v>
      </c>
      <c r="U19" s="1">
        <v>1.0288000000000001E-7</v>
      </c>
      <c r="V19" s="1">
        <v>1.8907E-12</v>
      </c>
      <c r="Y19" s="1">
        <f t="shared" si="0"/>
        <v>2.2389881890699998E-5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9"/>
  <sheetViews>
    <sheetView topLeftCell="E1" workbookViewId="0">
      <selection activeCell="Y1" sqref="Y1:Y1048576"/>
    </sheetView>
  </sheetViews>
  <sheetFormatPr defaultRowHeight="15" x14ac:dyDescent="0.25"/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Y1" t="s">
        <v>24</v>
      </c>
    </row>
    <row r="2" spans="1:25" x14ac:dyDescent="0.25">
      <c r="A2">
        <v>5</v>
      </c>
      <c r="B2" t="s">
        <v>22</v>
      </c>
      <c r="C2">
        <v>1</v>
      </c>
      <c r="D2">
        <v>-99</v>
      </c>
      <c r="E2">
        <v>-99</v>
      </c>
      <c r="F2">
        <v>-99</v>
      </c>
      <c r="G2">
        <v>3</v>
      </c>
      <c r="H2">
        <v>4</v>
      </c>
      <c r="I2">
        <v>-99</v>
      </c>
      <c r="J2">
        <v>25</v>
      </c>
      <c r="K2">
        <v>-1.2724100000000001E-3</v>
      </c>
      <c r="L2">
        <v>0.19712499999999999</v>
      </c>
      <c r="M2">
        <v>1</v>
      </c>
      <c r="N2">
        <v>1.17241E-3</v>
      </c>
      <c r="O2">
        <v>0.29737599999999997</v>
      </c>
      <c r="P2" s="1">
        <v>5.4309000000000002E-16</v>
      </c>
      <c r="Q2" s="1">
        <v>3.6261000000000003E-8</v>
      </c>
      <c r="R2" s="1">
        <v>8.9172000000000006E-5</v>
      </c>
      <c r="S2" s="1">
        <v>1.0791999999999999E-5</v>
      </c>
      <c r="T2" s="1">
        <v>0</v>
      </c>
      <c r="U2" s="1">
        <v>0</v>
      </c>
      <c r="V2" s="1">
        <v>0</v>
      </c>
      <c r="Y2" s="1"/>
    </row>
    <row r="3" spans="1:25" x14ac:dyDescent="0.25">
      <c r="A3">
        <v>7</v>
      </c>
      <c r="B3" t="s">
        <v>23</v>
      </c>
      <c r="C3">
        <v>1</v>
      </c>
      <c r="D3">
        <v>-99</v>
      </c>
      <c r="E3">
        <v>0</v>
      </c>
      <c r="F3">
        <v>1</v>
      </c>
      <c r="G3">
        <v>3</v>
      </c>
      <c r="H3">
        <v>9.9929000000000006</v>
      </c>
      <c r="I3">
        <v>-99</v>
      </c>
      <c r="J3">
        <v>25</v>
      </c>
      <c r="K3">
        <v>-1.2642599999999999E-3</v>
      </c>
      <c r="L3">
        <v>0.19705600000000001</v>
      </c>
      <c r="M3">
        <v>1</v>
      </c>
      <c r="N3">
        <v>1.16715E-3</v>
      </c>
      <c r="O3">
        <v>0.29614699999999999</v>
      </c>
      <c r="P3" s="1">
        <v>1.3220000000000001E-16</v>
      </c>
      <c r="Q3" s="1">
        <v>8.8289000000000004E-9</v>
      </c>
      <c r="R3" s="1">
        <v>2.1713E-5</v>
      </c>
      <c r="S3" s="1">
        <v>2.6278999999999999E-6</v>
      </c>
      <c r="T3" s="1">
        <v>4.5571000000000003E-9</v>
      </c>
      <c r="U3" s="1">
        <v>8.7506000000000005E-6</v>
      </c>
      <c r="V3" s="1">
        <v>6.6895000000000002E-5</v>
      </c>
      <c r="Y3" s="1">
        <f t="shared" ref="Y3:Y19" si="0">T3+U3+V3</f>
        <v>7.5650157099999997E-5</v>
      </c>
    </row>
    <row r="4" spans="1:25" x14ac:dyDescent="0.25">
      <c r="A4">
        <v>8</v>
      </c>
      <c r="B4" t="s">
        <v>23</v>
      </c>
      <c r="C4">
        <v>1</v>
      </c>
      <c r="D4">
        <v>-99</v>
      </c>
      <c r="E4">
        <v>0</v>
      </c>
      <c r="F4">
        <v>1</v>
      </c>
      <c r="G4">
        <v>3.5</v>
      </c>
      <c r="H4">
        <v>9.2806200000000008</v>
      </c>
      <c r="I4">
        <v>-99</v>
      </c>
      <c r="J4">
        <v>25</v>
      </c>
      <c r="K4">
        <v>-3.99923E-4</v>
      </c>
      <c r="L4">
        <v>0.19706499999999999</v>
      </c>
      <c r="M4">
        <v>1.0000199999999999</v>
      </c>
      <c r="N4">
        <v>1.1707600000000001E-3</v>
      </c>
      <c r="O4">
        <v>0.297045</v>
      </c>
      <c r="P4" s="1">
        <v>1.5752E-15</v>
      </c>
      <c r="Q4" s="1">
        <v>3.3266000000000002E-8</v>
      </c>
      <c r="R4" s="1">
        <v>2.5870000000000001E-5</v>
      </c>
      <c r="S4" s="1">
        <v>9.9013000000000004E-7</v>
      </c>
      <c r="T4" s="1">
        <v>1.5148000000000001E-8</v>
      </c>
      <c r="U4" s="1">
        <v>1.4882000000000001E-5</v>
      </c>
      <c r="V4" s="1">
        <v>5.8207E-5</v>
      </c>
      <c r="Y4" s="1">
        <f t="shared" si="0"/>
        <v>7.3104148000000002E-5</v>
      </c>
    </row>
    <row r="5" spans="1:25" x14ac:dyDescent="0.25">
      <c r="A5">
        <v>9</v>
      </c>
      <c r="B5" t="s">
        <v>23</v>
      </c>
      <c r="C5">
        <v>1</v>
      </c>
      <c r="D5">
        <v>-99</v>
      </c>
      <c r="E5">
        <v>0</v>
      </c>
      <c r="F5">
        <v>1</v>
      </c>
      <c r="G5">
        <v>4</v>
      </c>
      <c r="H5">
        <v>8.5616299999999992</v>
      </c>
      <c r="I5">
        <v>-99</v>
      </c>
      <c r="J5">
        <v>25</v>
      </c>
      <c r="K5">
        <v>-1.2640399999999999E-4</v>
      </c>
      <c r="L5">
        <v>0.197072</v>
      </c>
      <c r="M5">
        <v>1.0000199999999999</v>
      </c>
      <c r="N5">
        <v>1.17472E-3</v>
      </c>
      <c r="O5">
        <v>0.29803800000000003</v>
      </c>
      <c r="P5" s="1">
        <v>1.8198000000000001E-14</v>
      </c>
      <c r="Q5" s="1">
        <v>1.2151999999999999E-7</v>
      </c>
      <c r="R5" s="1">
        <v>2.9886000000000002E-5</v>
      </c>
      <c r="S5" s="1">
        <v>3.6170000000000002E-7</v>
      </c>
      <c r="T5" s="1">
        <v>4.1688000000000002E-8</v>
      </c>
      <c r="U5" s="1">
        <v>2.2262000000000001E-5</v>
      </c>
      <c r="V5" s="1">
        <v>4.7326000000000001E-5</v>
      </c>
      <c r="Y5" s="1">
        <f t="shared" si="0"/>
        <v>6.9629687999999996E-5</v>
      </c>
    </row>
    <row r="6" spans="1:25" x14ac:dyDescent="0.25">
      <c r="A6">
        <v>10</v>
      </c>
      <c r="B6" t="s">
        <v>23</v>
      </c>
      <c r="C6">
        <v>1</v>
      </c>
      <c r="D6">
        <v>-99</v>
      </c>
      <c r="E6">
        <v>0</v>
      </c>
      <c r="F6">
        <v>1</v>
      </c>
      <c r="G6">
        <v>4.5</v>
      </c>
      <c r="H6">
        <v>7.7922000000000002</v>
      </c>
      <c r="I6">
        <v>-99</v>
      </c>
      <c r="J6">
        <v>25</v>
      </c>
      <c r="K6" s="1">
        <v>-3.95937E-5</v>
      </c>
      <c r="L6">
        <v>0.197079</v>
      </c>
      <c r="M6">
        <v>1.0000199999999999</v>
      </c>
      <c r="N6">
        <v>1.1790500000000001E-3</v>
      </c>
      <c r="O6">
        <v>0.299124</v>
      </c>
      <c r="P6" s="1">
        <v>2.0399999999999999E-13</v>
      </c>
      <c r="Q6" s="1">
        <v>4.3080000000000002E-7</v>
      </c>
      <c r="R6" s="1">
        <v>3.3503000000000001E-5</v>
      </c>
      <c r="S6" s="1">
        <v>1.2821999999999999E-7</v>
      </c>
      <c r="T6" s="1">
        <v>1.0142E-7</v>
      </c>
      <c r="U6" s="1">
        <v>3.0151E-5</v>
      </c>
      <c r="V6" s="1">
        <v>3.5683999999999999E-5</v>
      </c>
      <c r="Y6" s="1">
        <f t="shared" si="0"/>
        <v>6.5936420000000003E-5</v>
      </c>
    </row>
    <row r="7" spans="1:25" x14ac:dyDescent="0.25">
      <c r="A7">
        <v>11</v>
      </c>
      <c r="B7" t="s">
        <v>23</v>
      </c>
      <c r="C7">
        <v>1</v>
      </c>
      <c r="D7">
        <v>-99</v>
      </c>
      <c r="E7">
        <v>0</v>
      </c>
      <c r="F7">
        <v>1</v>
      </c>
      <c r="G7">
        <v>5</v>
      </c>
      <c r="H7">
        <v>7.2350700000000003</v>
      </c>
      <c r="I7">
        <v>-99</v>
      </c>
      <c r="J7">
        <v>25</v>
      </c>
      <c r="K7" s="1">
        <v>-1.1205299999999999E-5</v>
      </c>
      <c r="L7">
        <v>0.19708700000000001</v>
      </c>
      <c r="M7">
        <v>1.0000199999999999</v>
      </c>
      <c r="N7">
        <v>1.1838199999999999E-3</v>
      </c>
      <c r="O7">
        <v>0.30032599999999998</v>
      </c>
      <c r="P7" s="1">
        <v>2.176E-12</v>
      </c>
      <c r="Q7" s="1">
        <v>1.4530999999999999E-6</v>
      </c>
      <c r="R7" s="1">
        <v>3.5734E-5</v>
      </c>
      <c r="S7" s="1">
        <v>4.3247999999999998E-8</v>
      </c>
      <c r="T7" s="1">
        <v>2.3054E-7</v>
      </c>
      <c r="U7" s="1">
        <v>3.7827000000000002E-5</v>
      </c>
      <c r="V7" s="1">
        <v>2.4709999999999999E-5</v>
      </c>
      <c r="Y7" s="1">
        <f t="shared" si="0"/>
        <v>6.2767540000000001E-5</v>
      </c>
    </row>
    <row r="8" spans="1:25" x14ac:dyDescent="0.25">
      <c r="A8">
        <v>12</v>
      </c>
      <c r="B8" t="s">
        <v>23</v>
      </c>
      <c r="C8">
        <v>1</v>
      </c>
      <c r="D8">
        <v>-99</v>
      </c>
      <c r="E8">
        <v>0</v>
      </c>
      <c r="F8">
        <v>1</v>
      </c>
      <c r="G8">
        <v>5.5</v>
      </c>
      <c r="H8">
        <v>6.43058</v>
      </c>
      <c r="I8">
        <v>-99</v>
      </c>
      <c r="J8">
        <v>25</v>
      </c>
      <c r="K8" s="1">
        <v>4.8577900000000002E-7</v>
      </c>
      <c r="L8">
        <v>0.197098</v>
      </c>
      <c r="M8">
        <v>1.0000199999999999</v>
      </c>
      <c r="N8">
        <v>1.18907E-3</v>
      </c>
      <c r="O8">
        <v>0.30164400000000002</v>
      </c>
      <c r="P8" s="1">
        <v>2.1236999999999999E-11</v>
      </c>
      <c r="Q8" s="1">
        <v>4.4845E-6</v>
      </c>
      <c r="R8" s="1">
        <v>3.4873999999999998E-5</v>
      </c>
      <c r="S8" s="1">
        <v>1.3347E-8</v>
      </c>
      <c r="T8" s="1">
        <v>5.1195999999999999E-7</v>
      </c>
      <c r="U8" s="1">
        <v>4.4626999999999998E-5</v>
      </c>
      <c r="V8" s="1">
        <v>1.5486999999999999E-5</v>
      </c>
      <c r="Y8" s="1">
        <f t="shared" si="0"/>
        <v>6.0625959999999996E-5</v>
      </c>
    </row>
    <row r="9" spans="1:25" x14ac:dyDescent="0.25">
      <c r="A9">
        <v>13</v>
      </c>
      <c r="B9" t="s">
        <v>23</v>
      </c>
      <c r="C9">
        <v>1</v>
      </c>
      <c r="D9">
        <v>-99</v>
      </c>
      <c r="E9">
        <v>0</v>
      </c>
      <c r="F9">
        <v>1</v>
      </c>
      <c r="G9">
        <v>6</v>
      </c>
      <c r="H9">
        <v>5.5534100000000004</v>
      </c>
      <c r="I9">
        <v>-99</v>
      </c>
      <c r="J9">
        <v>25</v>
      </c>
      <c r="K9" s="1">
        <v>1.0462000000000001E-5</v>
      </c>
      <c r="L9">
        <v>0.19711600000000001</v>
      </c>
      <c r="M9">
        <v>1.0000199999999999</v>
      </c>
      <c r="N9">
        <v>1.19443E-3</v>
      </c>
      <c r="O9">
        <v>0.30298799999999998</v>
      </c>
      <c r="P9" s="1">
        <v>1.7543000000000001E-10</v>
      </c>
      <c r="Q9" s="1">
        <v>1.1712999999999999E-5</v>
      </c>
      <c r="R9" s="1">
        <v>2.8804999999999999E-5</v>
      </c>
      <c r="S9" s="1">
        <v>3.4861000000000002E-9</v>
      </c>
      <c r="T9" s="1">
        <v>1.159E-6</v>
      </c>
      <c r="U9" s="1">
        <v>4.9799000000000002E-5</v>
      </c>
      <c r="V9" s="1">
        <v>8.5181000000000007E-6</v>
      </c>
      <c r="Y9" s="1">
        <f t="shared" si="0"/>
        <v>5.9476100000000005E-5</v>
      </c>
    </row>
    <row r="10" spans="1:25" x14ac:dyDescent="0.25">
      <c r="A10">
        <v>14</v>
      </c>
      <c r="B10" t="s">
        <v>23</v>
      </c>
      <c r="C10">
        <v>1</v>
      </c>
      <c r="D10">
        <v>-99</v>
      </c>
      <c r="E10">
        <v>0</v>
      </c>
      <c r="F10">
        <v>1</v>
      </c>
      <c r="G10">
        <v>6.5</v>
      </c>
      <c r="H10">
        <v>4.8763199999999998</v>
      </c>
      <c r="I10">
        <v>-99</v>
      </c>
      <c r="J10">
        <v>25</v>
      </c>
      <c r="K10" s="1">
        <v>2.2888399999999999E-5</v>
      </c>
      <c r="L10">
        <v>0.19714200000000001</v>
      </c>
      <c r="M10">
        <v>1.0000199999999999</v>
      </c>
      <c r="N10">
        <v>1.19914E-3</v>
      </c>
      <c r="O10">
        <v>0.30416100000000001</v>
      </c>
      <c r="P10" s="1">
        <v>1.1009E-9</v>
      </c>
      <c r="Q10" s="1">
        <v>2.3243000000000001E-5</v>
      </c>
      <c r="R10" s="1">
        <v>1.8074999999999999E-5</v>
      </c>
      <c r="S10" s="1">
        <v>6.9174000000000003E-10</v>
      </c>
      <c r="T10" s="1">
        <v>2.7464999999999999E-6</v>
      </c>
      <c r="U10" s="1">
        <v>5.2009999999999998E-5</v>
      </c>
      <c r="V10" s="1">
        <v>3.9210999999999996E-6</v>
      </c>
      <c r="Y10" s="1">
        <f t="shared" si="0"/>
        <v>5.8677599999999995E-5</v>
      </c>
    </row>
    <row r="11" spans="1:25" x14ac:dyDescent="0.25">
      <c r="A11">
        <v>15</v>
      </c>
      <c r="B11" t="s">
        <v>23</v>
      </c>
      <c r="C11">
        <v>1</v>
      </c>
      <c r="D11">
        <v>-99</v>
      </c>
      <c r="E11">
        <v>0</v>
      </c>
      <c r="F11">
        <v>1</v>
      </c>
      <c r="G11">
        <v>7</v>
      </c>
      <c r="H11">
        <v>3.8164699999999998</v>
      </c>
      <c r="I11">
        <v>-99</v>
      </c>
      <c r="J11">
        <v>25</v>
      </c>
      <c r="K11" s="1">
        <v>3.4271699999999999E-5</v>
      </c>
      <c r="L11">
        <v>0.19716700000000001</v>
      </c>
      <c r="M11">
        <v>1.0000199999999999</v>
      </c>
      <c r="N11">
        <v>1.20294E-3</v>
      </c>
      <c r="O11">
        <v>0.30510300000000001</v>
      </c>
      <c r="P11" s="1">
        <v>5.1307999999999997E-9</v>
      </c>
      <c r="Q11" s="1">
        <v>3.4252999999999999E-5</v>
      </c>
      <c r="R11" s="1">
        <v>8.4229000000000003E-6</v>
      </c>
      <c r="S11" s="1">
        <v>1.0194E-10</v>
      </c>
      <c r="T11" s="1">
        <v>6.5007999999999997E-6</v>
      </c>
      <c r="U11" s="1">
        <v>4.9326000000000002E-5</v>
      </c>
      <c r="V11" s="1">
        <v>1.4899999999999999E-6</v>
      </c>
      <c r="Y11" s="1">
        <f t="shared" si="0"/>
        <v>5.73168E-5</v>
      </c>
    </row>
    <row r="12" spans="1:25" x14ac:dyDescent="0.25">
      <c r="A12">
        <v>16</v>
      </c>
      <c r="B12" t="s">
        <v>23</v>
      </c>
      <c r="C12">
        <v>1</v>
      </c>
      <c r="D12">
        <v>-99</v>
      </c>
      <c r="E12">
        <v>0</v>
      </c>
      <c r="F12">
        <v>1</v>
      </c>
      <c r="G12">
        <v>7.5</v>
      </c>
      <c r="H12">
        <v>2.9285600000000001</v>
      </c>
      <c r="I12">
        <v>-99</v>
      </c>
      <c r="J12">
        <v>25</v>
      </c>
      <c r="K12" s="1">
        <v>4.2358399999999997E-5</v>
      </c>
      <c r="L12">
        <v>0.197187</v>
      </c>
      <c r="M12">
        <v>1.0000199999999999</v>
      </c>
      <c r="N12">
        <v>1.20689E-3</v>
      </c>
      <c r="O12">
        <v>0.30608600000000002</v>
      </c>
      <c r="P12" s="1">
        <v>1.9863999999999998E-8</v>
      </c>
      <c r="Q12" s="1">
        <v>4.1931000000000002E-5</v>
      </c>
      <c r="R12" s="1">
        <v>3.2606000000000002E-6</v>
      </c>
      <c r="S12" s="1">
        <v>1.2478000000000001E-11</v>
      </c>
      <c r="T12" s="1">
        <v>1.359E-5</v>
      </c>
      <c r="U12" s="1">
        <v>4.0710000000000002E-5</v>
      </c>
      <c r="V12" s="1">
        <v>4.8546999999999997E-7</v>
      </c>
      <c r="Y12" s="1">
        <f t="shared" si="0"/>
        <v>5.4785470000000004E-5</v>
      </c>
    </row>
    <row r="13" spans="1:25" x14ac:dyDescent="0.25">
      <c r="A13">
        <v>17</v>
      </c>
      <c r="B13" t="s">
        <v>23</v>
      </c>
      <c r="C13">
        <v>1</v>
      </c>
      <c r="D13">
        <v>-99</v>
      </c>
      <c r="E13">
        <v>0</v>
      </c>
      <c r="F13">
        <v>1</v>
      </c>
      <c r="G13">
        <v>8</v>
      </c>
      <c r="H13">
        <v>1.98607</v>
      </c>
      <c r="I13">
        <v>-99</v>
      </c>
      <c r="J13">
        <v>25</v>
      </c>
      <c r="K13" s="1">
        <v>4.8856600000000002E-5</v>
      </c>
      <c r="L13">
        <v>0.19720499999999999</v>
      </c>
      <c r="M13">
        <v>1.0000199999999999</v>
      </c>
      <c r="N13">
        <v>1.2120799999999999E-3</v>
      </c>
      <c r="O13">
        <v>0.30738300000000002</v>
      </c>
      <c r="P13" s="1">
        <v>7.0974999999999999E-8</v>
      </c>
      <c r="Q13" s="1">
        <v>4.7376000000000002E-5</v>
      </c>
      <c r="R13" s="1">
        <v>1.1650000000000001E-6</v>
      </c>
      <c r="S13" s="1">
        <v>1.4097999999999999E-12</v>
      </c>
      <c r="T13" s="1">
        <v>2.2988000000000001E-5</v>
      </c>
      <c r="U13" s="1">
        <v>2.8259000000000002E-5</v>
      </c>
      <c r="V13" s="1">
        <v>1.3829999999999999E-7</v>
      </c>
      <c r="Y13" s="1">
        <f t="shared" si="0"/>
        <v>5.1385300000000004E-5</v>
      </c>
    </row>
    <row r="14" spans="1:25" x14ac:dyDescent="0.25">
      <c r="A14">
        <v>18</v>
      </c>
      <c r="B14" t="s">
        <v>23</v>
      </c>
      <c r="C14">
        <v>1</v>
      </c>
      <c r="D14">
        <v>-99</v>
      </c>
      <c r="E14">
        <v>0</v>
      </c>
      <c r="F14">
        <v>1</v>
      </c>
      <c r="G14">
        <v>8.5</v>
      </c>
      <c r="H14">
        <v>1.0586800000000001</v>
      </c>
      <c r="I14">
        <v>-99</v>
      </c>
      <c r="J14">
        <v>25</v>
      </c>
      <c r="K14" s="1">
        <v>5.6114299999999999E-5</v>
      </c>
      <c r="L14">
        <v>0.19722300000000001</v>
      </c>
      <c r="M14">
        <v>1.0000199999999999</v>
      </c>
      <c r="N14">
        <v>1.2187000000000001E-3</v>
      </c>
      <c r="O14">
        <v>0.30903999999999998</v>
      </c>
      <c r="P14" s="1">
        <v>2.4331999999999998E-7</v>
      </c>
      <c r="Q14" s="1">
        <v>5.1357000000000003E-5</v>
      </c>
      <c r="R14" s="1">
        <v>3.9934999999999999E-7</v>
      </c>
      <c r="S14" s="1">
        <v>1.5282999999999999E-13</v>
      </c>
      <c r="T14" s="1">
        <v>3.1541999999999997E-5</v>
      </c>
      <c r="U14" s="1">
        <v>1.6421000000000001E-5</v>
      </c>
      <c r="V14" s="1">
        <v>3.4032999999999998E-8</v>
      </c>
      <c r="Y14" s="1">
        <f t="shared" si="0"/>
        <v>4.7997032999999998E-5</v>
      </c>
    </row>
    <row r="15" spans="1:25" x14ac:dyDescent="0.25">
      <c r="A15">
        <v>19</v>
      </c>
      <c r="B15" t="s">
        <v>23</v>
      </c>
      <c r="C15">
        <v>1</v>
      </c>
      <c r="D15">
        <v>-99</v>
      </c>
      <c r="E15">
        <v>0</v>
      </c>
      <c r="F15">
        <v>1</v>
      </c>
      <c r="G15">
        <v>9</v>
      </c>
      <c r="H15">
        <v>0.17930399999999999</v>
      </c>
      <c r="I15">
        <v>-99</v>
      </c>
      <c r="J15">
        <v>25</v>
      </c>
      <c r="K15" s="1">
        <v>6.9256800000000004E-5</v>
      </c>
      <c r="L15">
        <v>0.19724700000000001</v>
      </c>
      <c r="M15">
        <v>1.0000199999999999</v>
      </c>
      <c r="N15">
        <v>1.22631E-3</v>
      </c>
      <c r="O15">
        <v>0.31093799999999999</v>
      </c>
      <c r="P15" s="1">
        <v>8.1091E-7</v>
      </c>
      <c r="Q15" s="1">
        <v>5.4119999999999997E-5</v>
      </c>
      <c r="R15" s="1">
        <v>1.3307000000000001E-7</v>
      </c>
      <c r="S15" s="1">
        <v>1.6104000000000001E-14</v>
      </c>
      <c r="T15" s="1">
        <v>3.6813000000000001E-5</v>
      </c>
      <c r="U15" s="1">
        <v>8.1140000000000006E-6</v>
      </c>
      <c r="V15" s="1">
        <v>7.1198000000000002E-9</v>
      </c>
      <c r="Y15" s="1">
        <f t="shared" si="0"/>
        <v>4.4934119799999999E-5</v>
      </c>
    </row>
    <row r="16" spans="1:25" x14ac:dyDescent="0.25">
      <c r="A16">
        <v>20</v>
      </c>
      <c r="B16" t="s">
        <v>23</v>
      </c>
      <c r="C16">
        <v>1</v>
      </c>
      <c r="D16">
        <v>-99</v>
      </c>
      <c r="E16">
        <v>0</v>
      </c>
      <c r="F16">
        <v>1</v>
      </c>
      <c r="G16">
        <v>9.5</v>
      </c>
      <c r="H16">
        <v>-0.63031099999999995</v>
      </c>
      <c r="I16">
        <v>-99</v>
      </c>
      <c r="J16">
        <v>25</v>
      </c>
      <c r="K16">
        <v>1.03471E-4</v>
      </c>
      <c r="L16">
        <v>0.197293</v>
      </c>
      <c r="M16">
        <v>1.00003</v>
      </c>
      <c r="N16">
        <v>1.23383E-3</v>
      </c>
      <c r="O16">
        <v>0.312782</v>
      </c>
      <c r="P16" s="1">
        <v>2.6286999999999999E-6</v>
      </c>
      <c r="Q16" s="1">
        <v>5.5470000000000003E-5</v>
      </c>
      <c r="R16" s="1">
        <v>4.3130000000000003E-8</v>
      </c>
      <c r="S16" s="1">
        <v>1.6505000000000001E-15</v>
      </c>
      <c r="T16" s="1">
        <v>3.8407E-5</v>
      </c>
      <c r="U16" s="1">
        <v>3.4481000000000001E-6</v>
      </c>
      <c r="V16" s="1">
        <v>1.2324E-9</v>
      </c>
      <c r="Y16" s="1">
        <f t="shared" si="0"/>
        <v>4.1856332400000002E-5</v>
      </c>
    </row>
    <row r="17" spans="1:25" x14ac:dyDescent="0.25">
      <c r="A17">
        <v>21</v>
      </c>
      <c r="B17" t="s">
        <v>23</v>
      </c>
      <c r="C17">
        <v>1</v>
      </c>
      <c r="D17">
        <v>-99</v>
      </c>
      <c r="E17">
        <v>0</v>
      </c>
      <c r="F17">
        <v>1</v>
      </c>
      <c r="G17">
        <v>10</v>
      </c>
      <c r="H17">
        <v>-1.3827499999999999</v>
      </c>
      <c r="I17">
        <v>-99</v>
      </c>
      <c r="J17">
        <v>25</v>
      </c>
      <c r="K17">
        <v>2.0472399999999999E-4</v>
      </c>
      <c r="L17">
        <v>0.197412</v>
      </c>
      <c r="M17">
        <v>1.00003</v>
      </c>
      <c r="N17">
        <v>1.2393899999999999E-3</v>
      </c>
      <c r="O17">
        <v>0.31402400000000003</v>
      </c>
      <c r="P17" s="1">
        <v>8.0215999999999996E-6</v>
      </c>
      <c r="Q17" s="1">
        <v>5.3504000000000001E-5</v>
      </c>
      <c r="R17" s="1">
        <v>1.3154E-8</v>
      </c>
      <c r="S17" s="1">
        <v>1.5918000000000001E-16</v>
      </c>
      <c r="T17" s="1">
        <v>3.7208E-5</v>
      </c>
      <c r="U17" s="1">
        <v>1.2498000000000001E-6</v>
      </c>
      <c r="V17" s="1">
        <v>1.6714E-10</v>
      </c>
      <c r="Y17" s="1">
        <f t="shared" si="0"/>
        <v>3.8457967140000004E-5</v>
      </c>
    </row>
    <row r="18" spans="1:25" x14ac:dyDescent="0.25">
      <c r="A18">
        <v>22</v>
      </c>
      <c r="B18" t="s">
        <v>23</v>
      </c>
      <c r="C18">
        <v>1</v>
      </c>
      <c r="D18">
        <v>-99</v>
      </c>
      <c r="E18">
        <v>0</v>
      </c>
      <c r="F18">
        <v>1</v>
      </c>
      <c r="G18">
        <v>10.5</v>
      </c>
      <c r="H18">
        <v>-2.0966300000000002</v>
      </c>
      <c r="I18">
        <v>-99</v>
      </c>
      <c r="J18">
        <v>25</v>
      </c>
      <c r="K18">
        <v>5.1488E-4</v>
      </c>
      <c r="L18">
        <v>0.19774900000000001</v>
      </c>
      <c r="M18">
        <v>1.00003</v>
      </c>
      <c r="N18">
        <v>1.2409999999999999E-3</v>
      </c>
      <c r="O18">
        <v>0.313946</v>
      </c>
      <c r="P18" s="1">
        <v>2.1267000000000002E-5</v>
      </c>
      <c r="Q18" s="1">
        <v>4.4805000000000002E-5</v>
      </c>
      <c r="R18" s="1">
        <v>3.4823999999999999E-9</v>
      </c>
      <c r="S18" s="1">
        <v>1.3323000000000001E-17</v>
      </c>
      <c r="T18" s="1">
        <v>3.3549E-5</v>
      </c>
      <c r="U18" s="1">
        <v>3.7271000000000001E-7</v>
      </c>
      <c r="V18" s="1">
        <v>1.6484E-11</v>
      </c>
      <c r="Y18" s="1">
        <f t="shared" si="0"/>
        <v>3.3921726483999995E-5</v>
      </c>
    </row>
    <row r="19" spans="1:25" x14ac:dyDescent="0.25">
      <c r="A19">
        <v>23</v>
      </c>
      <c r="B19" t="s">
        <v>23</v>
      </c>
      <c r="C19">
        <v>1</v>
      </c>
      <c r="D19">
        <v>-99</v>
      </c>
      <c r="E19">
        <v>0</v>
      </c>
      <c r="F19">
        <v>1</v>
      </c>
      <c r="G19">
        <v>11</v>
      </c>
      <c r="H19">
        <v>-2.8139699999999999</v>
      </c>
      <c r="I19">
        <v>-99</v>
      </c>
      <c r="J19">
        <v>25</v>
      </c>
      <c r="K19">
        <v>1.47222E-3</v>
      </c>
      <c r="L19">
        <v>0.19874</v>
      </c>
      <c r="M19">
        <v>1.00003</v>
      </c>
      <c r="N19">
        <v>1.2388099999999999E-3</v>
      </c>
      <c r="O19">
        <v>0.311915</v>
      </c>
      <c r="P19" s="1">
        <v>4.4864999999999998E-5</v>
      </c>
      <c r="Q19" s="1">
        <v>2.9785999999999999E-5</v>
      </c>
      <c r="R19" s="1">
        <v>7.3148000000000004E-10</v>
      </c>
      <c r="S19" s="1">
        <v>8.8455000000000004E-19</v>
      </c>
      <c r="T19" s="1">
        <v>2.5262999999999999E-5</v>
      </c>
      <c r="U19" s="1">
        <v>8.2882000000000001E-8</v>
      </c>
      <c r="V19" s="1">
        <v>1.0825000000000001E-12</v>
      </c>
      <c r="Y19" s="1">
        <f t="shared" si="0"/>
        <v>2.5345883082499997E-5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9"/>
  <sheetViews>
    <sheetView topLeftCell="E1" workbookViewId="0">
      <selection activeCell="Y1" sqref="Y1:Y1048576"/>
    </sheetView>
  </sheetViews>
  <sheetFormatPr defaultRowHeight="15" x14ac:dyDescent="0.25"/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Y1" t="s">
        <v>24</v>
      </c>
    </row>
    <row r="2" spans="1:25" x14ac:dyDescent="0.25">
      <c r="A2">
        <v>5</v>
      </c>
      <c r="B2" t="s">
        <v>22</v>
      </c>
      <c r="C2">
        <v>1</v>
      </c>
      <c r="D2">
        <v>-99</v>
      </c>
      <c r="E2">
        <v>-99</v>
      </c>
      <c r="F2">
        <v>-99</v>
      </c>
      <c r="G2">
        <v>3</v>
      </c>
      <c r="H2">
        <v>4</v>
      </c>
      <c r="I2">
        <v>-99</v>
      </c>
      <c r="J2">
        <v>25</v>
      </c>
      <c r="K2">
        <v>-1.29776E-3</v>
      </c>
      <c r="L2">
        <v>0.293406</v>
      </c>
      <c r="M2">
        <v>1</v>
      </c>
      <c r="N2">
        <v>1.19776E-3</v>
      </c>
      <c r="O2">
        <v>0.20411199999999999</v>
      </c>
      <c r="P2" s="1">
        <v>7.7778999999999996E-16</v>
      </c>
      <c r="Q2" s="1">
        <v>3.8389000000000001E-8</v>
      </c>
      <c r="R2" s="1">
        <v>8.9547000000000002E-5</v>
      </c>
      <c r="S2" s="1">
        <v>1.0414999999999999E-5</v>
      </c>
      <c r="T2" s="1">
        <v>0</v>
      </c>
      <c r="U2" s="1">
        <v>0</v>
      </c>
      <c r="V2" s="1">
        <v>0</v>
      </c>
      <c r="Y2" s="1"/>
    </row>
    <row r="3" spans="1:25" x14ac:dyDescent="0.25">
      <c r="A3">
        <v>7</v>
      </c>
      <c r="B3" t="s">
        <v>23</v>
      </c>
      <c r="C3">
        <v>1</v>
      </c>
      <c r="D3">
        <v>-99</v>
      </c>
      <c r="E3">
        <v>0</v>
      </c>
      <c r="F3">
        <v>1</v>
      </c>
      <c r="G3">
        <v>3</v>
      </c>
      <c r="H3">
        <v>9.9939999999999998</v>
      </c>
      <c r="I3">
        <v>-99</v>
      </c>
      <c r="J3">
        <v>25</v>
      </c>
      <c r="K3">
        <v>-1.28995E-3</v>
      </c>
      <c r="L3">
        <v>0.29333700000000001</v>
      </c>
      <c r="M3">
        <v>1</v>
      </c>
      <c r="N3">
        <v>1.1917200000000001E-3</v>
      </c>
      <c r="O3">
        <v>0.20313100000000001</v>
      </c>
      <c r="P3" s="1">
        <v>1.9272E-16</v>
      </c>
      <c r="Q3" s="1">
        <v>9.5141999999999993E-9</v>
      </c>
      <c r="R3" s="1">
        <v>2.2192999999999999E-5</v>
      </c>
      <c r="S3" s="1">
        <v>2.5812E-6</v>
      </c>
      <c r="T3" s="1">
        <v>4.2059999999999997E-9</v>
      </c>
      <c r="U3" s="1">
        <v>8.4015000000000008E-6</v>
      </c>
      <c r="V3" s="1">
        <v>6.6810000000000006E-5</v>
      </c>
      <c r="Y3" s="1">
        <f t="shared" ref="Y3:Y19" si="0">T3+U3+V3</f>
        <v>7.5215706000000002E-5</v>
      </c>
    </row>
    <row r="4" spans="1:25" x14ac:dyDescent="0.25">
      <c r="A4">
        <v>8</v>
      </c>
      <c r="B4" t="s">
        <v>23</v>
      </c>
      <c r="C4">
        <v>1</v>
      </c>
      <c r="D4">
        <v>-99</v>
      </c>
      <c r="E4">
        <v>0</v>
      </c>
      <c r="F4">
        <v>1</v>
      </c>
      <c r="G4">
        <v>3.5</v>
      </c>
      <c r="H4">
        <v>9.28078</v>
      </c>
      <c r="I4">
        <v>-99</v>
      </c>
      <c r="J4">
        <v>25</v>
      </c>
      <c r="K4">
        <v>-4.08028E-4</v>
      </c>
      <c r="L4">
        <v>0.29334700000000002</v>
      </c>
      <c r="M4">
        <v>1.0000199999999999</v>
      </c>
      <c r="N4">
        <v>1.1958100000000001E-3</v>
      </c>
      <c r="O4">
        <v>0.203818</v>
      </c>
      <c r="P4" s="1">
        <v>2.2654000000000001E-15</v>
      </c>
      <c r="Q4" s="1">
        <v>3.5363999999999998E-8</v>
      </c>
      <c r="R4" s="1">
        <v>2.6086000000000001E-5</v>
      </c>
      <c r="S4" s="1">
        <v>9.5944999999999998E-7</v>
      </c>
      <c r="T4" s="1">
        <v>1.4932999999999999E-8</v>
      </c>
      <c r="U4" s="1">
        <v>1.4766999999999999E-5</v>
      </c>
      <c r="V4" s="1">
        <v>5.8134999999999998E-5</v>
      </c>
      <c r="Y4" s="1">
        <f t="shared" si="0"/>
        <v>7.2916933000000003E-5</v>
      </c>
    </row>
    <row r="5" spans="1:25" x14ac:dyDescent="0.25">
      <c r="A5">
        <v>9</v>
      </c>
      <c r="B5" t="s">
        <v>23</v>
      </c>
      <c r="C5">
        <v>1</v>
      </c>
      <c r="D5">
        <v>-99</v>
      </c>
      <c r="E5">
        <v>0</v>
      </c>
      <c r="F5">
        <v>1</v>
      </c>
      <c r="G5">
        <v>4</v>
      </c>
      <c r="H5">
        <v>8.5572499999999998</v>
      </c>
      <c r="I5">
        <v>-99</v>
      </c>
      <c r="J5">
        <v>25</v>
      </c>
      <c r="K5">
        <v>-1.2895699999999999E-4</v>
      </c>
      <c r="L5">
        <v>0.29335499999999998</v>
      </c>
      <c r="M5">
        <v>1.0000199999999999</v>
      </c>
      <c r="N5">
        <v>1.2004299999999999E-3</v>
      </c>
      <c r="O5">
        <v>0.2046</v>
      </c>
      <c r="P5" s="1">
        <v>2.5891E-14</v>
      </c>
      <c r="Q5" s="1">
        <v>1.2781E-7</v>
      </c>
      <c r="R5" s="1">
        <v>2.9813000000000001E-5</v>
      </c>
      <c r="S5" s="1">
        <v>3.4675E-7</v>
      </c>
      <c r="T5" s="1">
        <v>4.2913000000000002E-8</v>
      </c>
      <c r="U5" s="1">
        <v>2.2538999999999999E-5</v>
      </c>
      <c r="V5" s="1">
        <v>4.7128E-5</v>
      </c>
      <c r="Y5" s="1">
        <f t="shared" si="0"/>
        <v>6.9709913000000004E-5</v>
      </c>
    </row>
    <row r="6" spans="1:25" x14ac:dyDescent="0.25">
      <c r="A6">
        <v>10</v>
      </c>
      <c r="B6" t="s">
        <v>23</v>
      </c>
      <c r="C6">
        <v>1</v>
      </c>
      <c r="D6">
        <v>-99</v>
      </c>
      <c r="E6">
        <v>0</v>
      </c>
      <c r="F6">
        <v>1</v>
      </c>
      <c r="G6">
        <v>4.5</v>
      </c>
      <c r="H6">
        <v>7.8331499999999998</v>
      </c>
      <c r="I6">
        <v>-99</v>
      </c>
      <c r="J6">
        <v>25</v>
      </c>
      <c r="K6" s="1">
        <v>-4.0383000000000003E-5</v>
      </c>
      <c r="L6">
        <v>0.29336200000000001</v>
      </c>
      <c r="M6">
        <v>1.0000199999999999</v>
      </c>
      <c r="N6">
        <v>1.20553E-3</v>
      </c>
      <c r="O6">
        <v>0.20546400000000001</v>
      </c>
      <c r="P6" s="1">
        <v>2.8743999999999998E-13</v>
      </c>
      <c r="Q6" s="1">
        <v>4.4869999999999999E-7</v>
      </c>
      <c r="R6" s="1">
        <v>3.3098000000000001E-5</v>
      </c>
      <c r="S6" s="1">
        <v>1.2172999999999999E-7</v>
      </c>
      <c r="T6" s="1">
        <v>1.0742000000000001E-7</v>
      </c>
      <c r="U6" s="1">
        <v>3.0880000000000002E-5</v>
      </c>
      <c r="V6" s="1">
        <v>3.5342000000000001E-5</v>
      </c>
      <c r="Y6" s="1">
        <f t="shared" si="0"/>
        <v>6.632942000000001E-5</v>
      </c>
    </row>
    <row r="7" spans="1:25" x14ac:dyDescent="0.25">
      <c r="A7">
        <v>11</v>
      </c>
      <c r="B7" t="s">
        <v>23</v>
      </c>
      <c r="C7">
        <v>1</v>
      </c>
      <c r="D7">
        <v>-99</v>
      </c>
      <c r="E7">
        <v>0</v>
      </c>
      <c r="F7">
        <v>1</v>
      </c>
      <c r="G7">
        <v>5</v>
      </c>
      <c r="H7">
        <v>7.2113399999999999</v>
      </c>
      <c r="I7">
        <v>-99</v>
      </c>
      <c r="J7">
        <v>25</v>
      </c>
      <c r="K7" s="1">
        <v>-1.1415499999999999E-5</v>
      </c>
      <c r="L7">
        <v>0.29337000000000002</v>
      </c>
      <c r="M7">
        <v>1.0000199999999999</v>
      </c>
      <c r="N7">
        <v>1.2111400000000001E-3</v>
      </c>
      <c r="O7">
        <v>0.20641599999999999</v>
      </c>
      <c r="P7" s="1">
        <v>3.0336999999999999E-12</v>
      </c>
      <c r="Q7" s="1">
        <v>1.4975000000000001E-6</v>
      </c>
      <c r="R7" s="1">
        <v>3.4931000000000001E-5</v>
      </c>
      <c r="S7" s="1">
        <v>4.0626999999999997E-8</v>
      </c>
      <c r="T7" s="1">
        <v>2.4941000000000001E-7</v>
      </c>
      <c r="U7" s="1">
        <v>3.9001000000000001E-5</v>
      </c>
      <c r="V7" s="1">
        <v>2.4278999999999999E-5</v>
      </c>
      <c r="Y7" s="1">
        <f t="shared" si="0"/>
        <v>6.3529409999999996E-5</v>
      </c>
    </row>
    <row r="8" spans="1:25" x14ac:dyDescent="0.25">
      <c r="A8">
        <v>12</v>
      </c>
      <c r="B8" t="s">
        <v>23</v>
      </c>
      <c r="C8">
        <v>1</v>
      </c>
      <c r="D8">
        <v>-99</v>
      </c>
      <c r="E8">
        <v>0</v>
      </c>
      <c r="F8">
        <v>1</v>
      </c>
      <c r="G8">
        <v>5.5</v>
      </c>
      <c r="H8">
        <v>6.3960100000000004</v>
      </c>
      <c r="I8">
        <v>-99</v>
      </c>
      <c r="J8">
        <v>25</v>
      </c>
      <c r="K8" s="1">
        <v>4.8064099999999997E-7</v>
      </c>
      <c r="L8">
        <v>0.29337999999999997</v>
      </c>
      <c r="M8">
        <v>1.0000199999999999</v>
      </c>
      <c r="N8">
        <v>1.2172400000000001E-3</v>
      </c>
      <c r="O8">
        <v>0.20744899999999999</v>
      </c>
      <c r="P8" s="1">
        <v>2.9210999999999997E-11</v>
      </c>
      <c r="Q8" s="1">
        <v>4.5595000000000001E-6</v>
      </c>
      <c r="R8" s="1">
        <v>3.3633000000000001E-5</v>
      </c>
      <c r="S8" s="1">
        <v>1.2369999999999999E-8</v>
      </c>
      <c r="T8" s="1">
        <v>5.6418000000000001E-7</v>
      </c>
      <c r="U8" s="1">
        <v>4.6180000000000002E-5</v>
      </c>
      <c r="V8" s="1">
        <v>1.5048000000000001E-5</v>
      </c>
      <c r="Y8" s="1">
        <f t="shared" si="0"/>
        <v>6.1792180000000006E-5</v>
      </c>
    </row>
    <row r="9" spans="1:25" x14ac:dyDescent="0.25">
      <c r="A9">
        <v>13</v>
      </c>
      <c r="B9" t="s">
        <v>23</v>
      </c>
      <c r="C9">
        <v>1</v>
      </c>
      <c r="D9">
        <v>-99</v>
      </c>
      <c r="E9">
        <v>0</v>
      </c>
      <c r="F9">
        <v>1</v>
      </c>
      <c r="G9">
        <v>6</v>
      </c>
      <c r="H9">
        <v>5.53512</v>
      </c>
      <c r="I9">
        <v>-99</v>
      </c>
      <c r="J9">
        <v>25</v>
      </c>
      <c r="K9" s="1">
        <v>1.0417E-5</v>
      </c>
      <c r="L9">
        <v>0.29339799999999999</v>
      </c>
      <c r="M9">
        <v>1.0000199999999999</v>
      </c>
      <c r="N9">
        <v>1.22338E-3</v>
      </c>
      <c r="O9">
        <v>0.20848900000000001</v>
      </c>
      <c r="P9" s="1">
        <v>2.3689999999999998E-10</v>
      </c>
      <c r="Q9" s="1">
        <v>1.1693E-5</v>
      </c>
      <c r="R9" s="1">
        <v>2.7274999999999999E-5</v>
      </c>
      <c r="S9" s="1">
        <v>3.1721999999999999E-9</v>
      </c>
      <c r="T9" s="1">
        <v>1.2981999999999999E-6</v>
      </c>
      <c r="U9" s="1">
        <v>5.1572E-5</v>
      </c>
      <c r="V9" s="1">
        <v>8.1563000000000002E-6</v>
      </c>
      <c r="Y9" s="1">
        <f t="shared" si="0"/>
        <v>6.1026500000000003E-5</v>
      </c>
    </row>
    <row r="10" spans="1:25" x14ac:dyDescent="0.25">
      <c r="A10">
        <v>14</v>
      </c>
      <c r="B10" t="s">
        <v>23</v>
      </c>
      <c r="C10">
        <v>1</v>
      </c>
      <c r="D10">
        <v>-99</v>
      </c>
      <c r="E10">
        <v>0</v>
      </c>
      <c r="F10">
        <v>1</v>
      </c>
      <c r="G10">
        <v>6.5</v>
      </c>
      <c r="H10">
        <v>4.7943800000000003</v>
      </c>
      <c r="I10">
        <v>-99</v>
      </c>
      <c r="J10">
        <v>25</v>
      </c>
      <c r="K10" s="1">
        <v>2.23728E-5</v>
      </c>
      <c r="L10">
        <v>0.29342299999999999</v>
      </c>
      <c r="M10">
        <v>1.0000199999999999</v>
      </c>
      <c r="N10">
        <v>1.22871E-3</v>
      </c>
      <c r="O10">
        <v>0.20938699999999999</v>
      </c>
      <c r="P10" s="1">
        <v>1.4565999999999999E-9</v>
      </c>
      <c r="Q10" s="1">
        <v>2.2733000000000001E-5</v>
      </c>
      <c r="R10" s="1">
        <v>1.6769000000000002E-5</v>
      </c>
      <c r="S10" s="1">
        <v>6.1673E-10</v>
      </c>
      <c r="T10" s="1">
        <v>3.1057000000000002E-6</v>
      </c>
      <c r="U10" s="1">
        <v>5.3693000000000002E-5</v>
      </c>
      <c r="V10" s="1">
        <v>3.6955E-6</v>
      </c>
      <c r="Y10" s="1">
        <f t="shared" si="0"/>
        <v>6.0494200000000001E-5</v>
      </c>
    </row>
    <row r="11" spans="1:25" x14ac:dyDescent="0.25">
      <c r="A11">
        <v>15</v>
      </c>
      <c r="B11" t="s">
        <v>23</v>
      </c>
      <c r="C11">
        <v>1</v>
      </c>
      <c r="D11">
        <v>-99</v>
      </c>
      <c r="E11">
        <v>0</v>
      </c>
      <c r="F11">
        <v>1</v>
      </c>
      <c r="G11">
        <v>7</v>
      </c>
      <c r="H11">
        <v>3.7896299999999998</v>
      </c>
      <c r="I11">
        <v>-99</v>
      </c>
      <c r="J11">
        <v>25</v>
      </c>
      <c r="K11" s="1">
        <v>3.3066499999999999E-5</v>
      </c>
      <c r="L11">
        <v>0.29344700000000001</v>
      </c>
      <c r="M11">
        <v>1.0000199999999999</v>
      </c>
      <c r="N11">
        <v>1.2330900000000001E-3</v>
      </c>
      <c r="O11">
        <v>0.210123</v>
      </c>
      <c r="P11" s="1">
        <v>6.6951000000000002E-9</v>
      </c>
      <c r="Q11" s="1">
        <v>3.3040999999999998E-5</v>
      </c>
      <c r="R11" s="1">
        <v>7.7069999999999992E-6</v>
      </c>
      <c r="S11" s="1">
        <v>8.9636000000000005E-11</v>
      </c>
      <c r="T11" s="1">
        <v>7.3240999999999999E-6</v>
      </c>
      <c r="U11" s="1">
        <v>5.0531000000000001E-5</v>
      </c>
      <c r="V11" s="1">
        <v>1.3879000000000001E-6</v>
      </c>
      <c r="Y11" s="1">
        <f t="shared" si="0"/>
        <v>5.9243000000000002E-5</v>
      </c>
    </row>
    <row r="12" spans="1:25" x14ac:dyDescent="0.25">
      <c r="A12">
        <v>16</v>
      </c>
      <c r="B12" t="s">
        <v>23</v>
      </c>
      <c r="C12">
        <v>1</v>
      </c>
      <c r="D12">
        <v>-99</v>
      </c>
      <c r="E12">
        <v>0</v>
      </c>
      <c r="F12">
        <v>1</v>
      </c>
      <c r="G12">
        <v>7.5</v>
      </c>
      <c r="H12">
        <v>2.87859</v>
      </c>
      <c r="I12">
        <v>-99</v>
      </c>
      <c r="J12">
        <v>25</v>
      </c>
      <c r="K12" s="1">
        <v>4.0694900000000002E-5</v>
      </c>
      <c r="L12">
        <v>0.293466</v>
      </c>
      <c r="M12">
        <v>1.0000199999999999</v>
      </c>
      <c r="N12">
        <v>1.23778E-3</v>
      </c>
      <c r="O12">
        <v>0.21091299999999999</v>
      </c>
      <c r="P12" s="1">
        <v>2.5784999999999999E-8</v>
      </c>
      <c r="Q12" s="1">
        <v>4.0238999999999999E-5</v>
      </c>
      <c r="R12" s="1">
        <v>2.9681E-6</v>
      </c>
      <c r="S12" s="1">
        <v>1.0916000000000001E-11</v>
      </c>
      <c r="T12" s="1">
        <v>1.5085999999999999E-5</v>
      </c>
      <c r="U12" s="1">
        <v>4.1230000000000003E-5</v>
      </c>
      <c r="V12" s="1">
        <v>4.4859999999999998E-7</v>
      </c>
      <c r="Y12" s="1">
        <f t="shared" si="0"/>
        <v>5.6764600000000002E-5</v>
      </c>
    </row>
    <row r="13" spans="1:25" x14ac:dyDescent="0.25">
      <c r="A13">
        <v>17</v>
      </c>
      <c r="B13" t="s">
        <v>23</v>
      </c>
      <c r="C13">
        <v>1</v>
      </c>
      <c r="D13">
        <v>-99</v>
      </c>
      <c r="E13">
        <v>0</v>
      </c>
      <c r="F13">
        <v>1</v>
      </c>
      <c r="G13">
        <v>8</v>
      </c>
      <c r="H13">
        <v>1.93618</v>
      </c>
      <c r="I13">
        <v>-99</v>
      </c>
      <c r="J13">
        <v>25</v>
      </c>
      <c r="K13" s="1">
        <v>4.6914299999999999E-5</v>
      </c>
      <c r="L13">
        <v>0.29348400000000002</v>
      </c>
      <c r="M13">
        <v>1.00003</v>
      </c>
      <c r="N13">
        <v>1.2439199999999999E-3</v>
      </c>
      <c r="O13">
        <v>0.211951</v>
      </c>
      <c r="P13" s="1">
        <v>9.1871000000000003E-8</v>
      </c>
      <c r="Q13" s="1">
        <v>4.5334999999999999E-5</v>
      </c>
      <c r="R13" s="1">
        <v>1.0575E-6</v>
      </c>
      <c r="S13" s="1">
        <v>1.2298000000000001E-12</v>
      </c>
      <c r="T13" s="1">
        <v>2.5123E-5</v>
      </c>
      <c r="U13" s="1">
        <v>2.8263E-5</v>
      </c>
      <c r="V13" s="1">
        <v>1.2658000000000001E-7</v>
      </c>
      <c r="Y13" s="1">
        <f t="shared" si="0"/>
        <v>5.3512579999999999E-5</v>
      </c>
    </row>
    <row r="14" spans="1:25" x14ac:dyDescent="0.25">
      <c r="A14">
        <v>18</v>
      </c>
      <c r="B14" t="s">
        <v>23</v>
      </c>
      <c r="C14">
        <v>1</v>
      </c>
      <c r="D14">
        <v>-99</v>
      </c>
      <c r="E14">
        <v>0</v>
      </c>
      <c r="F14">
        <v>1</v>
      </c>
      <c r="G14">
        <v>8.5</v>
      </c>
      <c r="H14">
        <v>1.0067299999999999</v>
      </c>
      <c r="I14">
        <v>-99</v>
      </c>
      <c r="J14">
        <v>25</v>
      </c>
      <c r="K14" s="1">
        <v>5.3994199999999999E-5</v>
      </c>
      <c r="L14">
        <v>0.29350100000000001</v>
      </c>
      <c r="M14">
        <v>1.00003</v>
      </c>
      <c r="N14">
        <v>1.2515899999999999E-3</v>
      </c>
      <c r="O14">
        <v>0.21324799999999999</v>
      </c>
      <c r="P14" s="1">
        <v>3.1348999999999998E-7</v>
      </c>
      <c r="Q14" s="1">
        <v>4.8916999999999999E-5</v>
      </c>
      <c r="R14" s="1">
        <v>3.6082000000000002E-7</v>
      </c>
      <c r="S14" s="1">
        <v>1.3270000000000001E-13</v>
      </c>
      <c r="T14" s="1">
        <v>3.4147999999999999E-5</v>
      </c>
      <c r="U14" s="1">
        <v>1.6226999999999999E-5</v>
      </c>
      <c r="V14" s="1">
        <v>3.0697E-8</v>
      </c>
      <c r="Y14" s="1">
        <f t="shared" si="0"/>
        <v>5.0405696999999996E-5</v>
      </c>
    </row>
    <row r="15" spans="1:25" x14ac:dyDescent="0.25">
      <c r="A15">
        <v>19</v>
      </c>
      <c r="B15" t="s">
        <v>23</v>
      </c>
      <c r="C15">
        <v>1</v>
      </c>
      <c r="D15">
        <v>-99</v>
      </c>
      <c r="E15">
        <v>0</v>
      </c>
      <c r="F15">
        <v>1</v>
      </c>
      <c r="G15">
        <v>9</v>
      </c>
      <c r="H15">
        <v>0.123472</v>
      </c>
      <c r="I15">
        <v>-99</v>
      </c>
      <c r="J15">
        <v>25</v>
      </c>
      <c r="K15" s="1">
        <v>6.7298499999999999E-5</v>
      </c>
      <c r="L15">
        <v>0.29352499999999998</v>
      </c>
      <c r="M15">
        <v>1.00003</v>
      </c>
      <c r="N15">
        <v>1.2601400000000001E-3</v>
      </c>
      <c r="O15">
        <v>0.21468999999999999</v>
      </c>
      <c r="P15" s="1">
        <v>1.0364999999999999E-6</v>
      </c>
      <c r="Q15" s="1">
        <v>5.1141999999999999E-5</v>
      </c>
      <c r="R15" s="1">
        <v>1.1929E-7</v>
      </c>
      <c r="S15" s="1">
        <v>1.3873E-14</v>
      </c>
      <c r="T15" s="1">
        <v>3.9773E-5</v>
      </c>
      <c r="U15" s="1">
        <v>7.9208000000000005E-6</v>
      </c>
      <c r="V15" s="1">
        <v>6.2799000000000002E-9</v>
      </c>
      <c r="Y15" s="1">
        <f t="shared" si="0"/>
        <v>4.7700079900000001E-5</v>
      </c>
    </row>
    <row r="16" spans="1:25" x14ac:dyDescent="0.25">
      <c r="A16">
        <v>20</v>
      </c>
      <c r="B16" t="s">
        <v>23</v>
      </c>
      <c r="C16">
        <v>1</v>
      </c>
      <c r="D16">
        <v>-99</v>
      </c>
      <c r="E16">
        <v>0</v>
      </c>
      <c r="F16">
        <v>1</v>
      </c>
      <c r="G16">
        <v>9.5</v>
      </c>
      <c r="H16">
        <v>-0.72018400000000005</v>
      </c>
      <c r="I16">
        <v>-99</v>
      </c>
      <c r="J16">
        <v>25</v>
      </c>
      <c r="K16">
        <v>1.02827E-4</v>
      </c>
      <c r="L16">
        <v>0.29357299999999997</v>
      </c>
      <c r="M16">
        <v>1.00003</v>
      </c>
      <c r="N16">
        <v>1.2681700000000001E-3</v>
      </c>
      <c r="O16">
        <v>0.216028</v>
      </c>
      <c r="P16" s="1">
        <v>3.3115E-6</v>
      </c>
      <c r="Q16" s="1">
        <v>5.1663000000000003E-5</v>
      </c>
      <c r="R16" s="1">
        <v>3.8105999999999997E-8</v>
      </c>
      <c r="S16" s="1">
        <v>1.4014000000000001E-15</v>
      </c>
      <c r="T16" s="1">
        <v>4.1668999999999997E-5</v>
      </c>
      <c r="U16" s="1">
        <v>3.3154000000000001E-6</v>
      </c>
      <c r="V16" s="1">
        <v>1.0500999999999999E-9</v>
      </c>
      <c r="Y16" s="1">
        <f t="shared" si="0"/>
        <v>4.4985450099999993E-5</v>
      </c>
    </row>
    <row r="17" spans="1:25" x14ac:dyDescent="0.25">
      <c r="A17">
        <v>21</v>
      </c>
      <c r="B17" t="s">
        <v>23</v>
      </c>
      <c r="C17">
        <v>1</v>
      </c>
      <c r="D17">
        <v>-99</v>
      </c>
      <c r="E17">
        <v>0</v>
      </c>
      <c r="F17">
        <v>1</v>
      </c>
      <c r="G17">
        <v>10</v>
      </c>
      <c r="H17">
        <v>-1.44648</v>
      </c>
      <c r="I17">
        <v>-99</v>
      </c>
      <c r="J17">
        <v>25</v>
      </c>
      <c r="K17">
        <v>2.0886200000000001E-4</v>
      </c>
      <c r="L17">
        <v>0.29369699999999999</v>
      </c>
      <c r="M17">
        <v>1.00003</v>
      </c>
      <c r="N17">
        <v>1.2734199999999999E-3</v>
      </c>
      <c r="O17">
        <v>0.21684300000000001</v>
      </c>
      <c r="P17" s="1">
        <v>9.8105000000000003E-6</v>
      </c>
      <c r="Q17" s="1">
        <v>4.8381999999999999E-5</v>
      </c>
      <c r="R17" s="1">
        <v>1.1285E-8</v>
      </c>
      <c r="S17" s="1">
        <v>1.3122999999999999E-16</v>
      </c>
      <c r="T17" s="1">
        <v>4.0618000000000003E-5</v>
      </c>
      <c r="U17" s="1">
        <v>1.1747E-6</v>
      </c>
      <c r="V17" s="1">
        <v>1.3526000000000001E-10</v>
      </c>
      <c r="Y17" s="1">
        <f t="shared" si="0"/>
        <v>4.1792835260000002E-5</v>
      </c>
    </row>
    <row r="18" spans="1:25" x14ac:dyDescent="0.25">
      <c r="A18">
        <v>22</v>
      </c>
      <c r="B18" t="s">
        <v>23</v>
      </c>
      <c r="C18">
        <v>1</v>
      </c>
      <c r="D18">
        <v>-99</v>
      </c>
      <c r="E18">
        <v>0</v>
      </c>
      <c r="F18">
        <v>1</v>
      </c>
      <c r="G18">
        <v>10.5</v>
      </c>
      <c r="H18">
        <v>-2.1761400000000002</v>
      </c>
      <c r="I18">
        <v>-99</v>
      </c>
      <c r="J18">
        <v>25</v>
      </c>
      <c r="K18">
        <v>5.3323900000000002E-4</v>
      </c>
      <c r="L18">
        <v>0.294047</v>
      </c>
      <c r="M18">
        <v>1.00003</v>
      </c>
      <c r="N18">
        <v>1.2738700000000001E-3</v>
      </c>
      <c r="O18">
        <v>0.21668699999999999</v>
      </c>
      <c r="P18" s="1">
        <v>2.4661999999999999E-5</v>
      </c>
      <c r="Q18" s="1">
        <v>3.8423999999999997E-5</v>
      </c>
      <c r="R18" s="1">
        <v>2.8336999999999998E-9</v>
      </c>
      <c r="S18" s="1">
        <v>1.042E-17</v>
      </c>
      <c r="T18" s="1">
        <v>3.6569999999999997E-5</v>
      </c>
      <c r="U18" s="1">
        <v>3.3799000000000002E-7</v>
      </c>
      <c r="V18" s="1">
        <v>1.2436000000000001E-11</v>
      </c>
      <c r="Y18" s="1">
        <f t="shared" si="0"/>
        <v>3.6908002435999996E-5</v>
      </c>
    </row>
    <row r="19" spans="1:25" x14ac:dyDescent="0.25">
      <c r="A19">
        <v>23</v>
      </c>
      <c r="B19" t="s">
        <v>23</v>
      </c>
      <c r="C19">
        <v>1</v>
      </c>
      <c r="D19">
        <v>-99</v>
      </c>
      <c r="E19">
        <v>0</v>
      </c>
      <c r="F19">
        <v>1</v>
      </c>
      <c r="G19">
        <v>11</v>
      </c>
      <c r="H19">
        <v>-2.8961899999999998</v>
      </c>
      <c r="I19">
        <v>-99</v>
      </c>
      <c r="J19">
        <v>25</v>
      </c>
      <c r="K19">
        <v>1.53115E-3</v>
      </c>
      <c r="L19">
        <v>0.29506900000000003</v>
      </c>
      <c r="M19">
        <v>1.00003</v>
      </c>
      <c r="N19">
        <v>1.2702E-3</v>
      </c>
      <c r="O19">
        <v>0.21535699999999999</v>
      </c>
      <c r="P19" s="1">
        <v>4.8927000000000001E-5</v>
      </c>
      <c r="Q19" s="1">
        <v>2.4036000000000002E-5</v>
      </c>
      <c r="R19" s="1">
        <v>5.6037E-10</v>
      </c>
      <c r="S19" s="1">
        <v>6.5138E-19</v>
      </c>
      <c r="T19" s="1">
        <v>2.6962999999999999E-5</v>
      </c>
      <c r="U19" s="1">
        <v>7.1340000000000002E-8</v>
      </c>
      <c r="V19" s="1">
        <v>7.5143999999999998E-13</v>
      </c>
      <c r="Y19" s="1">
        <f t="shared" si="0"/>
        <v>2.703434075144E-5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9"/>
  <sheetViews>
    <sheetView topLeftCell="E1" workbookViewId="0">
      <selection activeCell="Y1" sqref="Y1:Y1048576"/>
    </sheetView>
  </sheetViews>
  <sheetFormatPr defaultRowHeight="15" x14ac:dyDescent="0.25"/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Y1" t="s">
        <v>24</v>
      </c>
    </row>
    <row r="2" spans="1:25" x14ac:dyDescent="0.25">
      <c r="A2">
        <v>5</v>
      </c>
      <c r="B2" t="s">
        <v>22</v>
      </c>
      <c r="C2">
        <v>1</v>
      </c>
      <c r="D2">
        <v>-99</v>
      </c>
      <c r="E2">
        <v>-99</v>
      </c>
      <c r="F2">
        <v>-99</v>
      </c>
      <c r="G2">
        <v>3</v>
      </c>
      <c r="H2">
        <v>4</v>
      </c>
      <c r="I2">
        <v>-99</v>
      </c>
      <c r="J2">
        <v>25</v>
      </c>
      <c r="K2">
        <v>-1.31526E-3</v>
      </c>
      <c r="L2">
        <v>0.38857199999999997</v>
      </c>
      <c r="M2">
        <v>1</v>
      </c>
      <c r="N2">
        <v>1.2152599999999999E-3</v>
      </c>
      <c r="O2">
        <v>0.15637499999999999</v>
      </c>
      <c r="P2" s="1">
        <v>1.0156E-15</v>
      </c>
      <c r="Q2" s="1">
        <v>3.9054E-8</v>
      </c>
      <c r="R2" s="1">
        <v>8.9792999999999999E-5</v>
      </c>
      <c r="S2" s="1">
        <v>1.0168E-5</v>
      </c>
      <c r="T2" s="1">
        <v>0</v>
      </c>
      <c r="U2" s="1">
        <v>0</v>
      </c>
      <c r="V2" s="1">
        <v>0</v>
      </c>
      <c r="Y2" s="1"/>
    </row>
    <row r="3" spans="1:25" x14ac:dyDescent="0.25">
      <c r="A3">
        <v>7</v>
      </c>
      <c r="B3" t="s">
        <v>23</v>
      </c>
      <c r="C3">
        <v>1</v>
      </c>
      <c r="D3">
        <v>-99</v>
      </c>
      <c r="E3">
        <v>0</v>
      </c>
      <c r="F3">
        <v>1</v>
      </c>
      <c r="G3">
        <v>3</v>
      </c>
      <c r="H3">
        <v>9.9838100000000001</v>
      </c>
      <c r="I3">
        <v>-99</v>
      </c>
      <c r="J3">
        <v>25</v>
      </c>
      <c r="K3">
        <v>-1.3076699999999999E-3</v>
      </c>
      <c r="L3">
        <v>0.38850299999999999</v>
      </c>
      <c r="M3">
        <v>1</v>
      </c>
      <c r="N3">
        <v>1.2086600000000001E-3</v>
      </c>
      <c r="O3">
        <v>0.155554</v>
      </c>
      <c r="P3" s="1">
        <v>2.5455999999999999E-16</v>
      </c>
      <c r="Q3" s="1">
        <v>9.7908999999999993E-9</v>
      </c>
      <c r="R3" s="1">
        <v>2.2510999999999998E-5</v>
      </c>
      <c r="S3" s="1">
        <v>2.5492000000000001E-6</v>
      </c>
      <c r="T3" s="1">
        <v>3.9393000000000002E-9</v>
      </c>
      <c r="U3" s="1">
        <v>8.1298999999999999E-6</v>
      </c>
      <c r="V3" s="1">
        <v>6.6796000000000002E-5</v>
      </c>
      <c r="Y3" s="1">
        <f t="shared" ref="Y3:Y19" si="0">T3+U3+V3</f>
        <v>7.4929839299999997E-5</v>
      </c>
    </row>
    <row r="4" spans="1:25" x14ac:dyDescent="0.25">
      <c r="A4">
        <v>8</v>
      </c>
      <c r="B4" t="s">
        <v>23</v>
      </c>
      <c r="C4">
        <v>1</v>
      </c>
      <c r="D4">
        <v>-99</v>
      </c>
      <c r="E4">
        <v>0</v>
      </c>
      <c r="F4">
        <v>1</v>
      </c>
      <c r="G4">
        <v>3.5</v>
      </c>
      <c r="H4">
        <v>9.27942</v>
      </c>
      <c r="I4">
        <v>-99</v>
      </c>
      <c r="J4">
        <v>25</v>
      </c>
      <c r="K4">
        <v>-4.1362099999999998E-4</v>
      </c>
      <c r="L4">
        <v>0.388515</v>
      </c>
      <c r="M4">
        <v>1.0000199999999999</v>
      </c>
      <c r="N4">
        <v>1.2130999999999999E-3</v>
      </c>
      <c r="O4">
        <v>0.15611800000000001</v>
      </c>
      <c r="P4" s="1">
        <v>2.9629000000000001E-15</v>
      </c>
      <c r="Q4" s="1">
        <v>3.6035999999999999E-8</v>
      </c>
      <c r="R4" s="1">
        <v>2.6200999999999999E-5</v>
      </c>
      <c r="S4" s="1">
        <v>9.3824999999999997E-7</v>
      </c>
      <c r="T4" s="1">
        <v>1.4696E-8</v>
      </c>
      <c r="U4" s="1">
        <v>1.4652E-5</v>
      </c>
      <c r="V4" s="1">
        <v>5.8155999999999997E-5</v>
      </c>
      <c r="Y4" s="1">
        <f t="shared" si="0"/>
        <v>7.2822695999999999E-5</v>
      </c>
    </row>
    <row r="5" spans="1:25" x14ac:dyDescent="0.25">
      <c r="A5">
        <v>9</v>
      </c>
      <c r="B5" t="s">
        <v>23</v>
      </c>
      <c r="C5">
        <v>1</v>
      </c>
      <c r="D5">
        <v>-99</v>
      </c>
      <c r="E5">
        <v>0</v>
      </c>
      <c r="F5">
        <v>1</v>
      </c>
      <c r="G5">
        <v>4</v>
      </c>
      <c r="H5">
        <v>8.5571699999999993</v>
      </c>
      <c r="I5">
        <v>-99</v>
      </c>
      <c r="J5">
        <v>25</v>
      </c>
      <c r="K5">
        <v>-1.3072E-4</v>
      </c>
      <c r="L5">
        <v>0.38852300000000001</v>
      </c>
      <c r="M5">
        <v>1.0000199999999999</v>
      </c>
      <c r="N5">
        <v>1.21824E-3</v>
      </c>
      <c r="O5">
        <v>0.156775</v>
      </c>
      <c r="P5" s="1">
        <v>3.3591999999999998E-14</v>
      </c>
      <c r="Q5" s="1">
        <v>1.2919000000000001E-7</v>
      </c>
      <c r="R5" s="1">
        <v>2.9703999999999999E-5</v>
      </c>
      <c r="S5" s="1">
        <v>3.3636999999999999E-7</v>
      </c>
      <c r="T5" s="1">
        <v>4.3683000000000001E-8</v>
      </c>
      <c r="U5" s="1">
        <v>2.2724000000000001E-5</v>
      </c>
      <c r="V5" s="1">
        <v>4.706E-5</v>
      </c>
      <c r="Y5" s="1">
        <f t="shared" si="0"/>
        <v>6.9827683000000002E-5</v>
      </c>
    </row>
    <row r="6" spans="1:25" x14ac:dyDescent="0.25">
      <c r="A6">
        <v>10</v>
      </c>
      <c r="B6" t="s">
        <v>23</v>
      </c>
      <c r="C6">
        <v>1</v>
      </c>
      <c r="D6">
        <v>-99</v>
      </c>
      <c r="E6">
        <v>0</v>
      </c>
      <c r="F6">
        <v>1</v>
      </c>
      <c r="G6">
        <v>4.5</v>
      </c>
      <c r="H6">
        <v>7.8287800000000001</v>
      </c>
      <c r="I6">
        <v>-99</v>
      </c>
      <c r="J6">
        <v>25</v>
      </c>
      <c r="K6" s="1">
        <v>-4.0938400000000001E-5</v>
      </c>
      <c r="L6">
        <v>0.38852999999999999</v>
      </c>
      <c r="M6">
        <v>1.0000199999999999</v>
      </c>
      <c r="N6">
        <v>1.2239499999999999E-3</v>
      </c>
      <c r="O6">
        <v>0.15750700000000001</v>
      </c>
      <c r="P6" s="1">
        <v>3.7022000000000001E-13</v>
      </c>
      <c r="Q6" s="1">
        <v>4.5026000000000001E-7</v>
      </c>
      <c r="R6" s="1">
        <v>3.2737000000000002E-5</v>
      </c>
      <c r="S6" s="1">
        <v>1.1723E-7</v>
      </c>
      <c r="T6" s="1">
        <v>1.1184E-7</v>
      </c>
      <c r="U6" s="1">
        <v>3.1426E-5</v>
      </c>
      <c r="V6" s="1">
        <v>3.5154999999999998E-5</v>
      </c>
      <c r="Y6" s="1">
        <f t="shared" si="0"/>
        <v>6.6692839999999996E-5</v>
      </c>
    </row>
    <row r="7" spans="1:25" x14ac:dyDescent="0.25">
      <c r="A7">
        <v>11</v>
      </c>
      <c r="B7" t="s">
        <v>23</v>
      </c>
      <c r="C7">
        <v>1</v>
      </c>
      <c r="D7">
        <v>-99</v>
      </c>
      <c r="E7">
        <v>0</v>
      </c>
      <c r="F7">
        <v>1</v>
      </c>
      <c r="G7">
        <v>5</v>
      </c>
      <c r="H7">
        <v>7.0736699999999999</v>
      </c>
      <c r="I7">
        <v>-99</v>
      </c>
      <c r="J7">
        <v>25</v>
      </c>
      <c r="K7" s="1">
        <v>-1.15974E-5</v>
      </c>
      <c r="L7">
        <v>0.38853799999999999</v>
      </c>
      <c r="M7">
        <v>1.0000199999999999</v>
      </c>
      <c r="N7">
        <v>1.2302299999999999E-3</v>
      </c>
      <c r="O7">
        <v>0.15831300000000001</v>
      </c>
      <c r="P7" s="1">
        <v>3.8776999999999999E-12</v>
      </c>
      <c r="Q7" s="1">
        <v>1.4913E-6</v>
      </c>
      <c r="R7" s="1">
        <v>3.4288000000000001E-5</v>
      </c>
      <c r="S7" s="1">
        <v>3.8828000000000002E-8</v>
      </c>
      <c r="T7" s="1">
        <v>2.6404999999999999E-7</v>
      </c>
      <c r="U7" s="1">
        <v>3.9906E-5</v>
      </c>
      <c r="V7" s="1">
        <v>2.4009E-5</v>
      </c>
      <c r="Y7" s="1">
        <f t="shared" si="0"/>
        <v>6.417905E-5</v>
      </c>
    </row>
    <row r="8" spans="1:25" x14ac:dyDescent="0.25">
      <c r="A8">
        <v>12</v>
      </c>
      <c r="B8" t="s">
        <v>23</v>
      </c>
      <c r="C8">
        <v>1</v>
      </c>
      <c r="D8">
        <v>-99</v>
      </c>
      <c r="E8">
        <v>0</v>
      </c>
      <c r="F8">
        <v>1</v>
      </c>
      <c r="G8">
        <v>5.5</v>
      </c>
      <c r="H8">
        <v>6.4708899999999998</v>
      </c>
      <c r="I8">
        <v>-99</v>
      </c>
      <c r="J8">
        <v>25</v>
      </c>
      <c r="K8" s="1">
        <v>3.6668800000000001E-7</v>
      </c>
      <c r="L8">
        <v>0.388548</v>
      </c>
      <c r="M8">
        <v>1.0000199999999999</v>
      </c>
      <c r="N8">
        <v>1.23701E-3</v>
      </c>
      <c r="O8">
        <v>0.15918099999999999</v>
      </c>
      <c r="P8" s="1">
        <v>3.7010999999999999E-11</v>
      </c>
      <c r="Q8" s="1">
        <v>4.5009000000000004E-6</v>
      </c>
      <c r="R8" s="1">
        <v>3.2725000000000003E-5</v>
      </c>
      <c r="S8" s="1">
        <v>1.1719000000000001E-8</v>
      </c>
      <c r="T8" s="1">
        <v>6.0564000000000002E-7</v>
      </c>
      <c r="U8" s="1">
        <v>4.7391000000000001E-5</v>
      </c>
      <c r="V8" s="1">
        <v>1.4763000000000001E-5</v>
      </c>
      <c r="Y8" s="1">
        <f t="shared" si="0"/>
        <v>6.2759640000000004E-5</v>
      </c>
    </row>
    <row r="9" spans="1:25" x14ac:dyDescent="0.25">
      <c r="A9">
        <v>13</v>
      </c>
      <c r="B9" t="s">
        <v>23</v>
      </c>
      <c r="C9">
        <v>1</v>
      </c>
      <c r="D9">
        <v>-99</v>
      </c>
      <c r="E9">
        <v>0</v>
      </c>
      <c r="F9">
        <v>1</v>
      </c>
      <c r="G9">
        <v>6</v>
      </c>
      <c r="H9">
        <v>5.6420700000000004</v>
      </c>
      <c r="I9">
        <v>-99</v>
      </c>
      <c r="J9">
        <v>25</v>
      </c>
      <c r="K9" s="1">
        <v>1.01339E-5</v>
      </c>
      <c r="L9">
        <v>0.38856600000000002</v>
      </c>
      <c r="M9">
        <v>1.0000199999999999</v>
      </c>
      <c r="N9">
        <v>1.2437699999999999E-3</v>
      </c>
      <c r="O9">
        <v>0.16004699999999999</v>
      </c>
      <c r="P9" s="1">
        <v>2.9715E-10</v>
      </c>
      <c r="Q9" s="1">
        <v>1.1426999999999999E-5</v>
      </c>
      <c r="R9" s="1">
        <v>2.6273000000000001E-5</v>
      </c>
      <c r="S9" s="1">
        <v>2.9751999999999998E-9</v>
      </c>
      <c r="T9" s="1">
        <v>1.4092E-6</v>
      </c>
      <c r="U9" s="1">
        <v>5.2961000000000003E-5</v>
      </c>
      <c r="V9" s="1">
        <v>7.9240999999999992E-6</v>
      </c>
      <c r="Y9" s="1">
        <f t="shared" si="0"/>
        <v>6.2294300000000004E-5</v>
      </c>
    </row>
    <row r="10" spans="1:25" x14ac:dyDescent="0.25">
      <c r="A10">
        <v>14</v>
      </c>
      <c r="B10" t="s">
        <v>23</v>
      </c>
      <c r="C10">
        <v>1</v>
      </c>
      <c r="D10">
        <v>-99</v>
      </c>
      <c r="E10">
        <v>0</v>
      </c>
      <c r="F10">
        <v>1</v>
      </c>
      <c r="G10">
        <v>6.5</v>
      </c>
      <c r="H10">
        <v>4.7088200000000002</v>
      </c>
      <c r="I10">
        <v>-99</v>
      </c>
      <c r="J10">
        <v>25</v>
      </c>
      <c r="K10" s="1">
        <v>2.1647499999999999E-5</v>
      </c>
      <c r="L10">
        <v>0.38858999999999999</v>
      </c>
      <c r="M10">
        <v>1.0000199999999999</v>
      </c>
      <c r="N10">
        <v>1.24961E-3</v>
      </c>
      <c r="O10">
        <v>0.16079399999999999</v>
      </c>
      <c r="P10" s="1">
        <v>1.8102E-9</v>
      </c>
      <c r="Q10" s="1">
        <v>2.2011E-5</v>
      </c>
      <c r="R10" s="1">
        <v>1.6004000000000001E-5</v>
      </c>
      <c r="S10" s="1">
        <v>5.7309000000000003E-10</v>
      </c>
      <c r="T10" s="1">
        <v>3.3894000000000001E-6</v>
      </c>
      <c r="U10" s="1">
        <v>5.5033E-5</v>
      </c>
      <c r="V10" s="1">
        <v>3.5572999999999998E-6</v>
      </c>
      <c r="Y10" s="1">
        <f t="shared" si="0"/>
        <v>6.1979699999999992E-5</v>
      </c>
    </row>
    <row r="11" spans="1:25" x14ac:dyDescent="0.25">
      <c r="A11">
        <v>15</v>
      </c>
      <c r="B11" t="s">
        <v>23</v>
      </c>
      <c r="C11">
        <v>1</v>
      </c>
      <c r="D11">
        <v>-99</v>
      </c>
      <c r="E11">
        <v>0</v>
      </c>
      <c r="F11">
        <v>1</v>
      </c>
      <c r="G11">
        <v>7</v>
      </c>
      <c r="H11">
        <v>3.7449699999999999</v>
      </c>
      <c r="I11">
        <v>-99</v>
      </c>
      <c r="J11">
        <v>25</v>
      </c>
      <c r="K11" s="1">
        <v>3.18648E-5</v>
      </c>
      <c r="L11">
        <v>0.38861200000000001</v>
      </c>
      <c r="M11">
        <v>1.0000199999999999</v>
      </c>
      <c r="N11">
        <v>1.2544800000000001E-3</v>
      </c>
      <c r="O11">
        <v>0.161415</v>
      </c>
      <c r="P11" s="1">
        <v>8.2790999999999997E-9</v>
      </c>
      <c r="Q11" s="1">
        <v>3.1834E-5</v>
      </c>
      <c r="R11" s="1">
        <v>7.3193000000000004E-6</v>
      </c>
      <c r="S11" s="1">
        <v>8.2883000000000002E-11</v>
      </c>
      <c r="T11" s="1">
        <v>7.9644999999999997E-6</v>
      </c>
      <c r="U11" s="1">
        <v>5.1542999999999998E-5</v>
      </c>
      <c r="V11" s="1">
        <v>1.328E-6</v>
      </c>
      <c r="Y11" s="1">
        <f t="shared" si="0"/>
        <v>6.0835499999999997E-5</v>
      </c>
    </row>
    <row r="12" spans="1:25" x14ac:dyDescent="0.25">
      <c r="A12">
        <v>16</v>
      </c>
      <c r="B12" t="s">
        <v>23</v>
      </c>
      <c r="C12">
        <v>1</v>
      </c>
      <c r="D12">
        <v>-99</v>
      </c>
      <c r="E12">
        <v>0</v>
      </c>
      <c r="F12">
        <v>1</v>
      </c>
      <c r="G12">
        <v>7.5</v>
      </c>
      <c r="H12">
        <v>2.8444199999999999</v>
      </c>
      <c r="I12">
        <v>-99</v>
      </c>
      <c r="J12">
        <v>25</v>
      </c>
      <c r="K12" s="1">
        <v>3.9199999999999997E-5</v>
      </c>
      <c r="L12">
        <v>0.388631</v>
      </c>
      <c r="M12">
        <v>1.00003</v>
      </c>
      <c r="N12">
        <v>1.2597999999999999E-3</v>
      </c>
      <c r="O12">
        <v>0.16209399999999999</v>
      </c>
      <c r="P12" s="1">
        <v>3.1844999999999998E-8</v>
      </c>
      <c r="Q12" s="1">
        <v>3.8719E-5</v>
      </c>
      <c r="R12" s="1">
        <v>2.8152000000000002E-6</v>
      </c>
      <c r="S12" s="1">
        <v>1.0081E-11</v>
      </c>
      <c r="T12" s="1">
        <v>1.6242000000000001E-5</v>
      </c>
      <c r="U12" s="1">
        <v>4.1761999999999998E-5</v>
      </c>
      <c r="V12" s="1">
        <v>4.2749000000000002E-7</v>
      </c>
      <c r="Y12" s="1">
        <f t="shared" si="0"/>
        <v>5.8431489999999997E-5</v>
      </c>
    </row>
    <row r="13" spans="1:25" x14ac:dyDescent="0.25">
      <c r="A13">
        <v>17</v>
      </c>
      <c r="B13" t="s">
        <v>23</v>
      </c>
      <c r="C13">
        <v>1</v>
      </c>
      <c r="D13">
        <v>-99</v>
      </c>
      <c r="E13">
        <v>0</v>
      </c>
      <c r="F13">
        <v>1</v>
      </c>
      <c r="G13">
        <v>8</v>
      </c>
      <c r="H13">
        <v>1.90215</v>
      </c>
      <c r="I13">
        <v>-99</v>
      </c>
      <c r="J13">
        <v>25</v>
      </c>
      <c r="K13" s="1">
        <v>4.5225200000000002E-5</v>
      </c>
      <c r="L13">
        <v>0.38864799999999999</v>
      </c>
      <c r="M13">
        <v>1.00003</v>
      </c>
      <c r="N13">
        <v>1.26672E-3</v>
      </c>
      <c r="O13">
        <v>0.16297900000000001</v>
      </c>
      <c r="P13" s="1">
        <v>1.133E-7</v>
      </c>
      <c r="Q13" s="1">
        <v>4.3562000000000001E-5</v>
      </c>
      <c r="R13" s="1">
        <v>1.0016000000000001E-6</v>
      </c>
      <c r="S13" s="1">
        <v>1.1342E-12</v>
      </c>
      <c r="T13" s="1">
        <v>2.6792999999999999E-5</v>
      </c>
      <c r="U13" s="1">
        <v>2.8408E-5</v>
      </c>
      <c r="V13" s="1">
        <v>1.1990999999999999E-7</v>
      </c>
      <c r="Y13" s="1">
        <f t="shared" si="0"/>
        <v>5.5320910000000002E-5</v>
      </c>
    </row>
    <row r="14" spans="1:25" x14ac:dyDescent="0.25">
      <c r="A14">
        <v>18</v>
      </c>
      <c r="B14" t="s">
        <v>23</v>
      </c>
      <c r="C14">
        <v>1</v>
      </c>
      <c r="D14">
        <v>-99</v>
      </c>
      <c r="E14">
        <v>0</v>
      </c>
      <c r="F14">
        <v>1</v>
      </c>
      <c r="G14">
        <v>8.5</v>
      </c>
      <c r="H14">
        <v>0.97496799999999995</v>
      </c>
      <c r="I14">
        <v>-99</v>
      </c>
      <c r="J14">
        <v>25</v>
      </c>
      <c r="K14" s="1">
        <v>5.2176000000000003E-5</v>
      </c>
      <c r="L14">
        <v>0.38866600000000001</v>
      </c>
      <c r="M14">
        <v>1.00003</v>
      </c>
      <c r="N14">
        <v>1.2752200000000001E-3</v>
      </c>
      <c r="O14">
        <v>0.16406599999999999</v>
      </c>
      <c r="P14" s="1">
        <v>3.8515999999999999E-7</v>
      </c>
      <c r="Q14" s="1">
        <v>4.6826999999999997E-5</v>
      </c>
      <c r="R14" s="1">
        <v>3.4046999999999998E-7</v>
      </c>
      <c r="S14" s="1">
        <v>1.2192E-13</v>
      </c>
      <c r="T14" s="1">
        <v>3.6232999999999997E-5</v>
      </c>
      <c r="U14" s="1">
        <v>1.6183000000000001E-5</v>
      </c>
      <c r="V14" s="1">
        <v>2.8774E-8</v>
      </c>
      <c r="Y14" s="1">
        <f t="shared" si="0"/>
        <v>5.2444773999999992E-5</v>
      </c>
    </row>
    <row r="15" spans="1:25" x14ac:dyDescent="0.25">
      <c r="A15">
        <v>19</v>
      </c>
      <c r="B15" t="s">
        <v>23</v>
      </c>
      <c r="C15">
        <v>1</v>
      </c>
      <c r="D15">
        <v>-99</v>
      </c>
      <c r="E15">
        <v>0</v>
      </c>
      <c r="F15">
        <v>1</v>
      </c>
      <c r="G15">
        <v>9</v>
      </c>
      <c r="H15">
        <v>9.5155100000000006E-2</v>
      </c>
      <c r="I15">
        <v>-99</v>
      </c>
      <c r="J15">
        <v>25</v>
      </c>
      <c r="K15" s="1">
        <v>6.5619399999999997E-5</v>
      </c>
      <c r="L15">
        <v>0.38868999999999998</v>
      </c>
      <c r="M15">
        <v>1.00003</v>
      </c>
      <c r="N15">
        <v>1.2844600000000001E-3</v>
      </c>
      <c r="O15">
        <v>0.165247</v>
      </c>
      <c r="P15" s="1">
        <v>1.2641999999999999E-6</v>
      </c>
      <c r="Q15" s="1">
        <v>4.8600000000000002E-5</v>
      </c>
      <c r="R15" s="1">
        <v>1.1173999999999999E-7</v>
      </c>
      <c r="S15" s="1">
        <v>1.2653E-14</v>
      </c>
      <c r="T15" s="1">
        <v>4.2187000000000001E-5</v>
      </c>
      <c r="U15" s="1">
        <v>7.8292999999999997E-6</v>
      </c>
      <c r="V15" s="1">
        <v>5.7846000000000001E-9</v>
      </c>
      <c r="Y15" s="1">
        <f t="shared" si="0"/>
        <v>5.0022084599999996E-5</v>
      </c>
    </row>
    <row r="16" spans="1:25" x14ac:dyDescent="0.25">
      <c r="A16">
        <v>20</v>
      </c>
      <c r="B16" t="s">
        <v>23</v>
      </c>
      <c r="C16">
        <v>1</v>
      </c>
      <c r="D16">
        <v>-99</v>
      </c>
      <c r="E16">
        <v>0</v>
      </c>
      <c r="F16">
        <v>1</v>
      </c>
      <c r="G16">
        <v>9.5</v>
      </c>
      <c r="H16">
        <v>-0.71586700000000003</v>
      </c>
      <c r="I16">
        <v>-99</v>
      </c>
      <c r="J16">
        <v>25</v>
      </c>
      <c r="K16">
        <v>1.0220199999999999E-4</v>
      </c>
      <c r="L16">
        <v>0.388739</v>
      </c>
      <c r="M16">
        <v>1.00003</v>
      </c>
      <c r="N16">
        <v>1.29276E-3</v>
      </c>
      <c r="O16">
        <v>0.166298</v>
      </c>
      <c r="P16" s="1">
        <v>3.9824000000000002E-6</v>
      </c>
      <c r="Q16" s="1">
        <v>4.8408000000000001E-5</v>
      </c>
      <c r="R16" s="1">
        <v>3.5197000000000001E-8</v>
      </c>
      <c r="S16" s="1">
        <v>1.2603E-15</v>
      </c>
      <c r="T16" s="1">
        <v>4.4333999999999999E-5</v>
      </c>
      <c r="U16" s="1">
        <v>3.2364999999999998E-6</v>
      </c>
      <c r="V16" s="1">
        <v>9.4063999999999997E-10</v>
      </c>
      <c r="Y16" s="1">
        <f t="shared" si="0"/>
        <v>4.7571440640000002E-5</v>
      </c>
    </row>
    <row r="17" spans="1:25" x14ac:dyDescent="0.25">
      <c r="A17">
        <v>21</v>
      </c>
      <c r="B17" t="s">
        <v>23</v>
      </c>
      <c r="C17">
        <v>1</v>
      </c>
      <c r="D17">
        <v>-99</v>
      </c>
      <c r="E17">
        <v>0</v>
      </c>
      <c r="F17">
        <v>1</v>
      </c>
      <c r="G17">
        <v>10</v>
      </c>
      <c r="H17">
        <v>-1.47732</v>
      </c>
      <c r="I17">
        <v>-99</v>
      </c>
      <c r="J17">
        <v>25</v>
      </c>
      <c r="K17">
        <v>2.1192199999999999E-4</v>
      </c>
      <c r="L17">
        <v>0.38886599999999999</v>
      </c>
      <c r="M17">
        <v>1.00003</v>
      </c>
      <c r="N17">
        <v>1.2975899999999999E-3</v>
      </c>
      <c r="O17">
        <v>0.16687199999999999</v>
      </c>
      <c r="P17" s="1">
        <v>1.1466E-5</v>
      </c>
      <c r="Q17" s="1">
        <v>4.4058999999999999E-5</v>
      </c>
      <c r="R17" s="1">
        <v>1.013E-8</v>
      </c>
      <c r="S17" s="1">
        <v>1.1470999999999999E-16</v>
      </c>
      <c r="T17" s="1">
        <v>4.3337999999999997E-5</v>
      </c>
      <c r="U17" s="1">
        <v>1.1244E-6</v>
      </c>
      <c r="V17" s="1">
        <v>1.1613E-10</v>
      </c>
      <c r="Y17" s="1">
        <f t="shared" si="0"/>
        <v>4.4462516129999995E-5</v>
      </c>
    </row>
    <row r="18" spans="1:25" x14ac:dyDescent="0.25">
      <c r="A18">
        <v>22</v>
      </c>
      <c r="B18" t="s">
        <v>23</v>
      </c>
      <c r="C18">
        <v>1</v>
      </c>
      <c r="D18">
        <v>-99</v>
      </c>
      <c r="E18">
        <v>0</v>
      </c>
      <c r="F18">
        <v>1</v>
      </c>
      <c r="G18">
        <v>10.5</v>
      </c>
      <c r="H18">
        <v>-2.21136</v>
      </c>
      <c r="I18">
        <v>-99</v>
      </c>
      <c r="J18">
        <v>25</v>
      </c>
      <c r="K18">
        <v>5.4664399999999999E-4</v>
      </c>
      <c r="L18">
        <v>0.38922600000000002</v>
      </c>
      <c r="M18">
        <v>1.00003</v>
      </c>
      <c r="N18">
        <v>1.2969500000000001E-3</v>
      </c>
      <c r="O18">
        <v>0.16665199999999999</v>
      </c>
      <c r="P18" s="1">
        <v>2.7469000000000001E-5</v>
      </c>
      <c r="Q18" s="1">
        <v>3.3351E-5</v>
      </c>
      <c r="R18" s="1">
        <v>2.4248000000000001E-9</v>
      </c>
      <c r="S18" s="1">
        <v>8.6817999999999995E-18</v>
      </c>
      <c r="T18" s="1">
        <v>3.8860999999999999E-5</v>
      </c>
      <c r="U18" s="1">
        <v>3.1377999999999999E-7</v>
      </c>
      <c r="V18" s="1">
        <v>1.0086E-11</v>
      </c>
      <c r="Y18" s="1">
        <f t="shared" si="0"/>
        <v>3.9174790086000003E-5</v>
      </c>
    </row>
    <row r="19" spans="1:25" x14ac:dyDescent="0.25">
      <c r="A19">
        <v>23</v>
      </c>
      <c r="B19" t="s">
        <v>23</v>
      </c>
      <c r="C19">
        <v>1</v>
      </c>
      <c r="D19">
        <v>-99</v>
      </c>
      <c r="E19">
        <v>0</v>
      </c>
      <c r="F19">
        <v>1</v>
      </c>
      <c r="G19">
        <v>11</v>
      </c>
      <c r="H19">
        <v>-2.9370699999999998</v>
      </c>
      <c r="I19">
        <v>-99</v>
      </c>
      <c r="J19">
        <v>25</v>
      </c>
      <c r="K19">
        <v>1.5735300000000001E-3</v>
      </c>
      <c r="L19">
        <v>0.39026699999999998</v>
      </c>
      <c r="M19">
        <v>1.00003</v>
      </c>
      <c r="N19">
        <v>1.2920399999999999E-3</v>
      </c>
      <c r="O19">
        <v>0.165603</v>
      </c>
      <c r="P19" s="1">
        <v>5.1910999999999998E-5</v>
      </c>
      <c r="Q19" s="1">
        <v>1.9879000000000001E-5</v>
      </c>
      <c r="R19" s="1">
        <v>4.5706000000000002E-10</v>
      </c>
      <c r="S19" s="1">
        <v>5.1737000000000004E-19</v>
      </c>
      <c r="T19" s="1">
        <v>2.8143000000000001E-5</v>
      </c>
      <c r="U19" s="1">
        <v>6.3568000000000004E-8</v>
      </c>
      <c r="V19" s="1">
        <v>5.7161000000000003E-13</v>
      </c>
      <c r="Y19" s="1">
        <f t="shared" si="0"/>
        <v>2.8206568571610001E-5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9"/>
  <sheetViews>
    <sheetView topLeftCell="E1" workbookViewId="0">
      <selection activeCell="Y1" sqref="Y1:Y1048576"/>
    </sheetView>
  </sheetViews>
  <sheetFormatPr defaultRowHeight="15" x14ac:dyDescent="0.25"/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Y1" t="s">
        <v>24</v>
      </c>
    </row>
    <row r="2" spans="1:25" x14ac:dyDescent="0.25">
      <c r="A2">
        <v>5</v>
      </c>
      <c r="B2" t="s">
        <v>22</v>
      </c>
      <c r="C2">
        <v>1</v>
      </c>
      <c r="D2">
        <v>-99</v>
      </c>
      <c r="E2">
        <v>-99</v>
      </c>
      <c r="F2">
        <v>-99</v>
      </c>
      <c r="G2">
        <v>3</v>
      </c>
      <c r="H2">
        <v>4</v>
      </c>
      <c r="I2">
        <v>-99</v>
      </c>
      <c r="J2">
        <v>25</v>
      </c>
      <c r="K2">
        <v>-1.32844E-3</v>
      </c>
      <c r="L2">
        <v>0.482682</v>
      </c>
      <c r="M2">
        <v>1</v>
      </c>
      <c r="N2">
        <v>1.2284399999999999E-3</v>
      </c>
      <c r="O2">
        <v>0.127251</v>
      </c>
      <c r="P2" s="1">
        <v>1.2565999999999999E-15</v>
      </c>
      <c r="Q2" s="1">
        <v>3.8815E-8</v>
      </c>
      <c r="R2" s="1">
        <v>8.9964999999999997E-5</v>
      </c>
      <c r="S2" s="1">
        <v>9.9960000000000005E-6</v>
      </c>
      <c r="T2" s="1">
        <v>0</v>
      </c>
      <c r="U2" s="1">
        <v>0</v>
      </c>
      <c r="V2" s="1">
        <v>0</v>
      </c>
      <c r="Y2" s="1"/>
    </row>
    <row r="3" spans="1:25" x14ac:dyDescent="0.25">
      <c r="A3">
        <v>7</v>
      </c>
      <c r="B3" t="s">
        <v>23</v>
      </c>
      <c r="C3">
        <v>1</v>
      </c>
      <c r="D3">
        <v>-99</v>
      </c>
      <c r="E3">
        <v>0</v>
      </c>
      <c r="F3">
        <v>1</v>
      </c>
      <c r="G3">
        <v>3</v>
      </c>
      <c r="H3">
        <v>9.9881600000000006</v>
      </c>
      <c r="I3">
        <v>-99</v>
      </c>
      <c r="J3">
        <v>25</v>
      </c>
      <c r="K3">
        <v>-1.3209999999999999E-3</v>
      </c>
      <c r="L3">
        <v>0.48261300000000001</v>
      </c>
      <c r="M3">
        <v>1</v>
      </c>
      <c r="N3">
        <v>1.22142E-3</v>
      </c>
      <c r="O3">
        <v>0.12654299999999999</v>
      </c>
      <c r="P3" s="1">
        <v>3.1743000000000001E-16</v>
      </c>
      <c r="Q3" s="1">
        <v>9.8065000000000008E-9</v>
      </c>
      <c r="R3" s="1">
        <v>2.2728999999999999E-5</v>
      </c>
      <c r="S3" s="1">
        <v>2.5254E-6</v>
      </c>
      <c r="T3" s="1">
        <v>3.7243000000000001E-9</v>
      </c>
      <c r="U3" s="1">
        <v>7.9067E-6</v>
      </c>
      <c r="V3" s="1">
        <v>6.6824999999999998E-5</v>
      </c>
      <c r="Y3" s="1">
        <f t="shared" ref="Y3:Y19" si="0">T3+U3+V3</f>
        <v>7.4735424299999996E-5</v>
      </c>
    </row>
    <row r="4" spans="1:25" x14ac:dyDescent="0.25">
      <c r="A4">
        <v>8</v>
      </c>
      <c r="B4" t="s">
        <v>23</v>
      </c>
      <c r="C4">
        <v>1</v>
      </c>
      <c r="D4">
        <v>-99</v>
      </c>
      <c r="E4">
        <v>0</v>
      </c>
      <c r="F4">
        <v>1</v>
      </c>
      <c r="G4">
        <v>3.5</v>
      </c>
      <c r="H4">
        <v>9.2817000000000007</v>
      </c>
      <c r="I4">
        <v>-99</v>
      </c>
      <c r="J4">
        <v>25</v>
      </c>
      <c r="K4">
        <v>-4.1782700000000001E-4</v>
      </c>
      <c r="L4">
        <v>0.482626</v>
      </c>
      <c r="M4">
        <v>1.0000199999999999</v>
      </c>
      <c r="N4">
        <v>1.22613E-3</v>
      </c>
      <c r="O4">
        <v>0.127025</v>
      </c>
      <c r="P4" s="1">
        <v>3.6664999999999999E-15</v>
      </c>
      <c r="Q4" s="1">
        <v>3.5817999999999997E-8</v>
      </c>
      <c r="R4" s="1">
        <v>2.6251999999999999E-5</v>
      </c>
      <c r="S4" s="1">
        <v>9.2241000000000001E-7</v>
      </c>
      <c r="T4" s="1">
        <v>1.4457999999999999E-8</v>
      </c>
      <c r="U4" s="1">
        <v>1.4542000000000001E-5</v>
      </c>
      <c r="V4" s="1">
        <v>5.8230999999999999E-5</v>
      </c>
      <c r="Y4" s="1">
        <f t="shared" si="0"/>
        <v>7.2787458000000006E-5</v>
      </c>
    </row>
    <row r="5" spans="1:25" x14ac:dyDescent="0.25">
      <c r="A5">
        <v>9</v>
      </c>
      <c r="B5" t="s">
        <v>23</v>
      </c>
      <c r="C5">
        <v>1</v>
      </c>
      <c r="D5">
        <v>-99</v>
      </c>
      <c r="E5">
        <v>0</v>
      </c>
      <c r="F5">
        <v>1</v>
      </c>
      <c r="G5">
        <v>4</v>
      </c>
      <c r="H5">
        <v>8.5580700000000007</v>
      </c>
      <c r="I5">
        <v>-99</v>
      </c>
      <c r="J5">
        <v>25</v>
      </c>
      <c r="K5">
        <v>-1.32049E-4</v>
      </c>
      <c r="L5">
        <v>0.48263499999999998</v>
      </c>
      <c r="M5">
        <v>1.0000199999999999</v>
      </c>
      <c r="N5">
        <v>1.2316899999999999E-3</v>
      </c>
      <c r="O5">
        <v>0.12759799999999999</v>
      </c>
      <c r="P5" s="1">
        <v>4.1301999999999998E-14</v>
      </c>
      <c r="Q5" s="1">
        <v>1.2758999999999999E-7</v>
      </c>
      <c r="R5" s="1">
        <v>2.9572000000000001E-5</v>
      </c>
      <c r="S5" s="1">
        <v>3.2857999999999999E-7</v>
      </c>
      <c r="T5" s="1">
        <v>4.4191000000000002E-8</v>
      </c>
      <c r="U5" s="1">
        <v>2.2858E-5</v>
      </c>
      <c r="V5" s="1">
        <v>4.7067000000000002E-5</v>
      </c>
      <c r="Y5" s="1">
        <f t="shared" si="0"/>
        <v>6.9969191000000003E-5</v>
      </c>
    </row>
    <row r="6" spans="1:25" x14ac:dyDescent="0.25">
      <c r="A6">
        <v>10</v>
      </c>
      <c r="B6" t="s">
        <v>23</v>
      </c>
      <c r="C6">
        <v>1</v>
      </c>
      <c r="D6">
        <v>-99</v>
      </c>
      <c r="E6">
        <v>0</v>
      </c>
      <c r="F6">
        <v>1</v>
      </c>
      <c r="G6">
        <v>4.5</v>
      </c>
      <c r="H6">
        <v>7.8284700000000003</v>
      </c>
      <c r="I6">
        <v>-99</v>
      </c>
      <c r="J6">
        <v>25</v>
      </c>
      <c r="K6" s="1">
        <v>-4.1365300000000002E-5</v>
      </c>
      <c r="L6">
        <v>0.48264200000000002</v>
      </c>
      <c r="M6">
        <v>1.0000199999999999</v>
      </c>
      <c r="N6">
        <v>1.23792E-3</v>
      </c>
      <c r="O6">
        <v>0.12824099999999999</v>
      </c>
      <c r="P6" s="1">
        <v>4.5257000000000001E-13</v>
      </c>
      <c r="Q6" s="1">
        <v>4.4210000000000002E-7</v>
      </c>
      <c r="R6" s="1">
        <v>3.2403999999999997E-5</v>
      </c>
      <c r="S6" s="1">
        <v>1.1385E-7</v>
      </c>
      <c r="T6" s="1">
        <v>1.1529999999999999E-7</v>
      </c>
      <c r="U6" s="1">
        <v>3.1863999999999998E-5</v>
      </c>
      <c r="V6" s="1">
        <v>3.5058000000000002E-5</v>
      </c>
      <c r="Y6" s="1">
        <f t="shared" si="0"/>
        <v>6.703730000000001E-5</v>
      </c>
    </row>
    <row r="7" spans="1:25" x14ac:dyDescent="0.25">
      <c r="A7">
        <v>11</v>
      </c>
      <c r="B7" t="s">
        <v>23</v>
      </c>
      <c r="C7">
        <v>1</v>
      </c>
      <c r="D7">
        <v>-99</v>
      </c>
      <c r="E7">
        <v>0</v>
      </c>
      <c r="F7">
        <v>1</v>
      </c>
      <c r="G7">
        <v>5</v>
      </c>
      <c r="H7">
        <v>7.0701599999999996</v>
      </c>
      <c r="I7">
        <v>-99</v>
      </c>
      <c r="J7">
        <v>25</v>
      </c>
      <c r="K7" s="1">
        <v>-1.1765E-5</v>
      </c>
      <c r="L7">
        <v>0.48265000000000002</v>
      </c>
      <c r="M7">
        <v>1.0000199999999999</v>
      </c>
      <c r="N7">
        <v>1.2447599999999999E-3</v>
      </c>
      <c r="O7">
        <v>0.12894800000000001</v>
      </c>
      <c r="P7" s="1">
        <v>4.7129000000000002E-12</v>
      </c>
      <c r="Q7" s="1">
        <v>1.4558000000000001E-6</v>
      </c>
      <c r="R7" s="1">
        <v>3.3742999999999999E-5</v>
      </c>
      <c r="S7" s="1">
        <v>3.7492000000000002E-8</v>
      </c>
      <c r="T7" s="1">
        <v>2.7602000000000001E-7</v>
      </c>
      <c r="U7" s="1">
        <v>4.0651000000000001E-5</v>
      </c>
      <c r="V7" s="1">
        <v>2.3833999999999999E-5</v>
      </c>
      <c r="Y7" s="1">
        <f t="shared" si="0"/>
        <v>6.476102E-5</v>
      </c>
    </row>
    <row r="8" spans="1:25" x14ac:dyDescent="0.25">
      <c r="A8">
        <v>12</v>
      </c>
      <c r="B8" t="s">
        <v>23</v>
      </c>
      <c r="C8">
        <v>1</v>
      </c>
      <c r="D8">
        <v>-99</v>
      </c>
      <c r="E8">
        <v>0</v>
      </c>
      <c r="F8">
        <v>1</v>
      </c>
      <c r="G8">
        <v>5.5</v>
      </c>
      <c r="H8">
        <v>6.4684299999999997</v>
      </c>
      <c r="I8">
        <v>-99</v>
      </c>
      <c r="J8">
        <v>25</v>
      </c>
      <c r="K8" s="1">
        <v>1.92022E-7</v>
      </c>
      <c r="L8">
        <v>0.48265999999999998</v>
      </c>
      <c r="M8">
        <v>1.0000199999999999</v>
      </c>
      <c r="N8">
        <v>1.2520999999999999E-3</v>
      </c>
      <c r="O8">
        <v>0.12970699999999999</v>
      </c>
      <c r="P8" s="1">
        <v>4.4714999999999998E-11</v>
      </c>
      <c r="Q8" s="1">
        <v>4.3679000000000001E-6</v>
      </c>
      <c r="R8" s="1">
        <v>3.2014000000000002E-5</v>
      </c>
      <c r="S8" s="1">
        <v>1.1249E-8</v>
      </c>
      <c r="T8" s="1">
        <v>6.4020000000000003E-7</v>
      </c>
      <c r="U8" s="1">
        <v>4.8398E-5</v>
      </c>
      <c r="V8" s="1">
        <v>1.4566000000000001E-5</v>
      </c>
      <c r="Y8" s="1">
        <f t="shared" si="0"/>
        <v>6.3604199999999997E-5</v>
      </c>
    </row>
    <row r="9" spans="1:25" x14ac:dyDescent="0.25">
      <c r="A9">
        <v>13</v>
      </c>
      <c r="B9" t="s">
        <v>23</v>
      </c>
      <c r="C9">
        <v>1</v>
      </c>
      <c r="D9">
        <v>-99</v>
      </c>
      <c r="E9">
        <v>0</v>
      </c>
      <c r="F9">
        <v>1</v>
      </c>
      <c r="G9">
        <v>6</v>
      </c>
      <c r="H9">
        <v>5.63835</v>
      </c>
      <c r="I9">
        <v>-99</v>
      </c>
      <c r="J9">
        <v>25</v>
      </c>
      <c r="K9" s="1">
        <v>9.7259100000000002E-6</v>
      </c>
      <c r="L9">
        <v>0.48267700000000002</v>
      </c>
      <c r="M9">
        <v>1.0000199999999999</v>
      </c>
      <c r="N9">
        <v>1.25939E-3</v>
      </c>
      <c r="O9">
        <v>0.13045899999999999</v>
      </c>
      <c r="P9" s="1">
        <v>3.5714000000000002E-10</v>
      </c>
      <c r="Q9" s="1">
        <v>1.1032E-5</v>
      </c>
      <c r="R9" s="1">
        <v>2.5568999999999999E-5</v>
      </c>
      <c r="S9" s="1">
        <v>2.841E-9</v>
      </c>
      <c r="T9" s="1">
        <v>1.502E-6</v>
      </c>
      <c r="U9" s="1">
        <v>5.4126000000000003E-5</v>
      </c>
      <c r="V9" s="1">
        <v>7.7650999999999996E-6</v>
      </c>
      <c r="Y9" s="1">
        <f t="shared" si="0"/>
        <v>6.3393100000000001E-5</v>
      </c>
    </row>
    <row r="10" spans="1:25" x14ac:dyDescent="0.25">
      <c r="A10">
        <v>14</v>
      </c>
      <c r="B10" t="s">
        <v>23</v>
      </c>
      <c r="C10">
        <v>1</v>
      </c>
      <c r="D10">
        <v>-99</v>
      </c>
      <c r="E10">
        <v>0</v>
      </c>
      <c r="F10">
        <v>1</v>
      </c>
      <c r="G10">
        <v>6.5</v>
      </c>
      <c r="H10">
        <v>4.7120199999999999</v>
      </c>
      <c r="I10">
        <v>-99</v>
      </c>
      <c r="J10">
        <v>25</v>
      </c>
      <c r="K10" s="1">
        <v>2.08242E-5</v>
      </c>
      <c r="L10">
        <v>0.48270000000000002</v>
      </c>
      <c r="M10">
        <v>1.0000199999999999</v>
      </c>
      <c r="N10">
        <v>1.2657E-3</v>
      </c>
      <c r="O10">
        <v>0.131109</v>
      </c>
      <c r="P10" s="1">
        <v>2.1695E-9</v>
      </c>
      <c r="Q10" s="1">
        <v>2.1189999999999999E-5</v>
      </c>
      <c r="R10" s="1">
        <v>1.5532E-5</v>
      </c>
      <c r="S10" s="1">
        <v>5.4570999999999997E-10</v>
      </c>
      <c r="T10" s="1">
        <v>3.6245000000000002E-6</v>
      </c>
      <c r="U10" s="1">
        <v>5.6181000000000003E-5</v>
      </c>
      <c r="V10" s="1">
        <v>3.4668999999999998E-6</v>
      </c>
      <c r="Y10" s="1">
        <f t="shared" si="0"/>
        <v>6.3272400000000001E-5</v>
      </c>
    </row>
    <row r="11" spans="1:25" x14ac:dyDescent="0.25">
      <c r="A11">
        <v>15</v>
      </c>
      <c r="B11" t="s">
        <v>23</v>
      </c>
      <c r="C11">
        <v>1</v>
      </c>
      <c r="D11">
        <v>-99</v>
      </c>
      <c r="E11">
        <v>0</v>
      </c>
      <c r="F11">
        <v>1</v>
      </c>
      <c r="G11">
        <v>7</v>
      </c>
      <c r="H11">
        <v>3.73834</v>
      </c>
      <c r="I11">
        <v>-99</v>
      </c>
      <c r="J11">
        <v>25</v>
      </c>
      <c r="K11" s="1">
        <v>3.0681800000000002E-5</v>
      </c>
      <c r="L11">
        <v>0.48272199999999998</v>
      </c>
      <c r="M11">
        <v>1.00003</v>
      </c>
      <c r="N11">
        <v>1.2710200000000001E-3</v>
      </c>
      <c r="O11">
        <v>0.131657</v>
      </c>
      <c r="P11" s="1">
        <v>9.9223000000000008E-9</v>
      </c>
      <c r="Q11" s="1">
        <v>3.0645999999999998E-5</v>
      </c>
      <c r="R11" s="1">
        <v>7.1030999999999998E-6</v>
      </c>
      <c r="S11" s="1">
        <v>7.8921000000000006E-11</v>
      </c>
      <c r="T11" s="1">
        <v>8.4890999999999997E-6</v>
      </c>
      <c r="U11" s="1">
        <v>5.2459E-5</v>
      </c>
      <c r="V11" s="1">
        <v>1.2905E-6</v>
      </c>
      <c r="Y11" s="1">
        <f t="shared" si="0"/>
        <v>6.2238599999999997E-5</v>
      </c>
    </row>
    <row r="12" spans="1:25" x14ac:dyDescent="0.25">
      <c r="A12">
        <v>16</v>
      </c>
      <c r="B12" t="s">
        <v>23</v>
      </c>
      <c r="C12">
        <v>1</v>
      </c>
      <c r="D12">
        <v>-99</v>
      </c>
      <c r="E12">
        <v>0</v>
      </c>
      <c r="F12">
        <v>1</v>
      </c>
      <c r="G12">
        <v>7.5</v>
      </c>
      <c r="H12">
        <v>2.8507400000000001</v>
      </c>
      <c r="I12">
        <v>-99</v>
      </c>
      <c r="J12">
        <v>25</v>
      </c>
      <c r="K12" s="1">
        <v>3.7809899999999999E-5</v>
      </c>
      <c r="L12">
        <v>0.48274</v>
      </c>
      <c r="M12">
        <v>1.00003</v>
      </c>
      <c r="N12">
        <v>1.2769000000000001E-3</v>
      </c>
      <c r="O12">
        <v>0.13226199999999999</v>
      </c>
      <c r="P12" s="1">
        <v>3.8198999999999997E-8</v>
      </c>
      <c r="Q12" s="1">
        <v>3.7307E-5</v>
      </c>
      <c r="R12" s="1">
        <v>2.7344E-6</v>
      </c>
      <c r="S12" s="1">
        <v>9.6076000000000004E-12</v>
      </c>
      <c r="T12" s="1">
        <v>1.7189000000000001E-5</v>
      </c>
      <c r="U12" s="1">
        <v>4.2314000000000002E-5</v>
      </c>
      <c r="V12" s="1">
        <v>4.1468E-7</v>
      </c>
      <c r="Y12" s="1">
        <f t="shared" si="0"/>
        <v>5.9917680000000003E-5</v>
      </c>
    </row>
    <row r="13" spans="1:25" x14ac:dyDescent="0.25">
      <c r="A13">
        <v>17</v>
      </c>
      <c r="B13" t="s">
        <v>23</v>
      </c>
      <c r="C13">
        <v>1</v>
      </c>
      <c r="D13">
        <v>-99</v>
      </c>
      <c r="E13">
        <v>0</v>
      </c>
      <c r="F13">
        <v>1</v>
      </c>
      <c r="G13">
        <v>8</v>
      </c>
      <c r="H13">
        <v>1.89981</v>
      </c>
      <c r="I13">
        <v>-99</v>
      </c>
      <c r="J13">
        <v>25</v>
      </c>
      <c r="K13" s="1">
        <v>4.3687799999999999E-5</v>
      </c>
      <c r="L13">
        <v>0.48275699999999999</v>
      </c>
      <c r="M13">
        <v>1.00003</v>
      </c>
      <c r="N13">
        <v>1.2844899999999999E-3</v>
      </c>
      <c r="O13">
        <v>0.133045</v>
      </c>
      <c r="P13" s="1">
        <v>1.3582999999999999E-7</v>
      </c>
      <c r="Q13" s="1">
        <v>4.1949000000000001E-5</v>
      </c>
      <c r="R13" s="1">
        <v>9.7229999999999999E-7</v>
      </c>
      <c r="S13" s="1">
        <v>1.0803E-12</v>
      </c>
      <c r="T13" s="1">
        <v>2.8184E-5</v>
      </c>
      <c r="U13" s="1">
        <v>2.864E-5</v>
      </c>
      <c r="V13" s="1">
        <v>1.1587E-7</v>
      </c>
      <c r="Y13" s="1">
        <f t="shared" si="0"/>
        <v>5.6939869999999998E-5</v>
      </c>
    </row>
    <row r="14" spans="1:25" x14ac:dyDescent="0.25">
      <c r="A14">
        <v>18</v>
      </c>
      <c r="B14" t="s">
        <v>23</v>
      </c>
      <c r="C14">
        <v>1</v>
      </c>
      <c r="D14">
        <v>-99</v>
      </c>
      <c r="E14">
        <v>0</v>
      </c>
      <c r="F14">
        <v>1</v>
      </c>
      <c r="G14">
        <v>8.5</v>
      </c>
      <c r="H14">
        <v>0.97138899999999995</v>
      </c>
      <c r="I14">
        <v>-99</v>
      </c>
      <c r="J14">
        <v>25</v>
      </c>
      <c r="K14" s="1">
        <v>5.0540200000000001E-5</v>
      </c>
      <c r="L14">
        <v>0.48277500000000001</v>
      </c>
      <c r="M14">
        <v>1.00003</v>
      </c>
      <c r="N14">
        <v>1.29368E-3</v>
      </c>
      <c r="O14">
        <v>0.133993</v>
      </c>
      <c r="P14" s="1">
        <v>4.6021000000000002E-7</v>
      </c>
      <c r="Q14" s="1">
        <v>4.4943E-5</v>
      </c>
      <c r="R14" s="1">
        <v>3.2941999999999999E-7</v>
      </c>
      <c r="S14" s="1">
        <v>1.1573999999999999E-13</v>
      </c>
      <c r="T14" s="1">
        <v>3.8009999999999997E-5</v>
      </c>
      <c r="U14" s="1">
        <v>1.6226999999999999E-5</v>
      </c>
      <c r="V14" s="1">
        <v>2.7578000000000001E-8</v>
      </c>
      <c r="Y14" s="1">
        <f t="shared" si="0"/>
        <v>5.4264577999999995E-5</v>
      </c>
    </row>
    <row r="15" spans="1:25" x14ac:dyDescent="0.25">
      <c r="A15">
        <v>19</v>
      </c>
      <c r="B15" t="s">
        <v>23</v>
      </c>
      <c r="C15">
        <v>1</v>
      </c>
      <c r="D15">
        <v>-99</v>
      </c>
      <c r="E15">
        <v>0</v>
      </c>
      <c r="F15">
        <v>1</v>
      </c>
      <c r="G15">
        <v>9</v>
      </c>
      <c r="H15">
        <v>8.9852100000000004E-2</v>
      </c>
      <c r="I15">
        <v>-99</v>
      </c>
      <c r="J15">
        <v>25</v>
      </c>
      <c r="K15" s="1">
        <v>6.4113699999999996E-5</v>
      </c>
      <c r="L15">
        <v>0.48279899999999998</v>
      </c>
      <c r="M15">
        <v>1.00003</v>
      </c>
      <c r="N15">
        <v>1.30346E-3</v>
      </c>
      <c r="O15">
        <v>0.13500100000000001</v>
      </c>
      <c r="P15" s="1">
        <v>1.4998E-6</v>
      </c>
      <c r="Q15" s="1">
        <v>4.6313999999999997E-5</v>
      </c>
      <c r="R15" s="1">
        <v>1.0735000000000001E-7</v>
      </c>
      <c r="S15" s="1">
        <v>1.1927E-14</v>
      </c>
      <c r="T15" s="1">
        <v>4.4274999999999999E-5</v>
      </c>
      <c r="U15" s="1">
        <v>7.7951999999999995E-6</v>
      </c>
      <c r="V15" s="1">
        <v>5.4638000000000001E-9</v>
      </c>
      <c r="Y15" s="1">
        <f t="shared" si="0"/>
        <v>5.2075663799999992E-5</v>
      </c>
    </row>
    <row r="16" spans="1:25" x14ac:dyDescent="0.25">
      <c r="A16">
        <v>20</v>
      </c>
      <c r="B16" t="s">
        <v>23</v>
      </c>
      <c r="C16">
        <v>1</v>
      </c>
      <c r="D16">
        <v>-99</v>
      </c>
      <c r="E16">
        <v>0</v>
      </c>
      <c r="F16">
        <v>1</v>
      </c>
      <c r="G16">
        <v>9.5</v>
      </c>
      <c r="H16">
        <v>-0.72391099999999997</v>
      </c>
      <c r="I16">
        <v>-99</v>
      </c>
      <c r="J16">
        <v>25</v>
      </c>
      <c r="K16">
        <v>1.0160100000000001E-4</v>
      </c>
      <c r="L16">
        <v>0.482848</v>
      </c>
      <c r="M16">
        <v>1.00003</v>
      </c>
      <c r="N16">
        <v>1.3119099999999999E-3</v>
      </c>
      <c r="O16">
        <v>0.13586400000000001</v>
      </c>
      <c r="P16" s="1">
        <v>4.6577999999999997E-6</v>
      </c>
      <c r="Q16" s="1">
        <v>4.5479999999999998E-5</v>
      </c>
      <c r="R16" s="1">
        <v>3.3335E-8</v>
      </c>
      <c r="S16" s="1">
        <v>1.1712E-15</v>
      </c>
      <c r="T16" s="1">
        <v>4.6638000000000003E-5</v>
      </c>
      <c r="U16" s="1">
        <v>3.1873E-6</v>
      </c>
      <c r="V16" s="1">
        <v>8.6719999999999996E-10</v>
      </c>
      <c r="Y16" s="1">
        <f t="shared" si="0"/>
        <v>4.9826167200000007E-5</v>
      </c>
    </row>
    <row r="17" spans="1:25" x14ac:dyDescent="0.25">
      <c r="A17">
        <v>21</v>
      </c>
      <c r="B17" t="s">
        <v>23</v>
      </c>
      <c r="C17">
        <v>1</v>
      </c>
      <c r="D17">
        <v>-99</v>
      </c>
      <c r="E17">
        <v>0</v>
      </c>
      <c r="F17">
        <v>1</v>
      </c>
      <c r="G17">
        <v>10</v>
      </c>
      <c r="H17">
        <v>-1.49061</v>
      </c>
      <c r="I17">
        <v>-99</v>
      </c>
      <c r="J17">
        <v>25</v>
      </c>
      <c r="K17">
        <v>2.14315E-4</v>
      </c>
      <c r="L17">
        <v>0.48297899999999999</v>
      </c>
      <c r="M17">
        <v>1.00003</v>
      </c>
      <c r="N17">
        <v>1.3162499999999999E-3</v>
      </c>
      <c r="O17">
        <v>0.13628299999999999</v>
      </c>
      <c r="P17" s="1">
        <v>1.3033E-5</v>
      </c>
      <c r="Q17" s="1">
        <v>4.0231999999999997E-5</v>
      </c>
      <c r="R17" s="1">
        <v>9.3253000000000005E-9</v>
      </c>
      <c r="S17" s="1">
        <v>1.0361E-16</v>
      </c>
      <c r="T17" s="1">
        <v>4.5636000000000001E-5</v>
      </c>
      <c r="U17" s="1">
        <v>1.0875E-6</v>
      </c>
      <c r="V17" s="1">
        <v>1.0316E-10</v>
      </c>
      <c r="Y17" s="1">
        <f t="shared" si="0"/>
        <v>4.672360316E-5</v>
      </c>
    </row>
    <row r="18" spans="1:25" x14ac:dyDescent="0.25">
      <c r="A18">
        <v>22</v>
      </c>
      <c r="B18" t="s">
        <v>23</v>
      </c>
      <c r="C18">
        <v>1</v>
      </c>
      <c r="D18">
        <v>-99</v>
      </c>
      <c r="E18">
        <v>0</v>
      </c>
      <c r="F18">
        <v>1</v>
      </c>
      <c r="G18">
        <v>10.5</v>
      </c>
      <c r="H18">
        <v>-2.23299</v>
      </c>
      <c r="I18">
        <v>-99</v>
      </c>
      <c r="J18">
        <v>25</v>
      </c>
      <c r="K18">
        <v>5.5694000000000002E-4</v>
      </c>
      <c r="L18">
        <v>0.48334500000000002</v>
      </c>
      <c r="M18">
        <v>1.00003</v>
      </c>
      <c r="N18">
        <v>1.3145800000000001E-3</v>
      </c>
      <c r="O18">
        <v>0.136018</v>
      </c>
      <c r="P18" s="1">
        <v>2.9858000000000001E-5</v>
      </c>
      <c r="Q18" s="1">
        <v>2.9122E-5</v>
      </c>
      <c r="R18" s="1">
        <v>2.1347000000000001E-9</v>
      </c>
      <c r="S18" s="1">
        <v>7.4997000000000002E-18</v>
      </c>
      <c r="T18" s="1">
        <v>4.0720000000000003E-5</v>
      </c>
      <c r="U18" s="1">
        <v>2.9544E-7</v>
      </c>
      <c r="V18" s="1">
        <v>8.5336000000000007E-12</v>
      </c>
      <c r="Y18" s="1">
        <f t="shared" si="0"/>
        <v>4.1015448533600004E-5</v>
      </c>
    </row>
    <row r="19" spans="1:25" x14ac:dyDescent="0.25">
      <c r="A19">
        <v>23</v>
      </c>
      <c r="B19" t="s">
        <v>23</v>
      </c>
      <c r="C19">
        <v>1</v>
      </c>
      <c r="D19">
        <v>-99</v>
      </c>
      <c r="E19">
        <v>0</v>
      </c>
      <c r="F19">
        <v>1</v>
      </c>
      <c r="G19">
        <v>11</v>
      </c>
      <c r="H19">
        <v>-2.9635500000000001</v>
      </c>
      <c r="I19">
        <v>-99</v>
      </c>
      <c r="J19">
        <v>25</v>
      </c>
      <c r="K19">
        <v>1.60568E-3</v>
      </c>
      <c r="L19">
        <v>0.48439599999999999</v>
      </c>
      <c r="M19">
        <v>1.00003</v>
      </c>
      <c r="N19">
        <v>1.3086E-3</v>
      </c>
      <c r="O19">
        <v>0.13512099999999999</v>
      </c>
      <c r="P19" s="1">
        <v>5.4212000000000002E-5</v>
      </c>
      <c r="Q19" s="1">
        <v>1.6682000000000001E-5</v>
      </c>
      <c r="R19" s="1">
        <v>3.8676000000000002E-10</v>
      </c>
      <c r="S19" s="1">
        <v>4.2960000000000001E-19</v>
      </c>
      <c r="T19" s="1">
        <v>2.9045000000000001E-5</v>
      </c>
      <c r="U19" s="1">
        <v>5.7876000000000002E-8</v>
      </c>
      <c r="V19" s="1">
        <v>4.5911999999999997E-13</v>
      </c>
      <c r="Y19" s="1">
        <f t="shared" si="0"/>
        <v>2.9102876459119999E-5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9"/>
  <sheetViews>
    <sheetView topLeftCell="E1" workbookViewId="0">
      <selection activeCell="Y1" sqref="Y1:Y1048576"/>
    </sheetView>
  </sheetViews>
  <sheetFormatPr defaultRowHeight="15" x14ac:dyDescent="0.25"/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Y1" t="s">
        <v>24</v>
      </c>
    </row>
    <row r="2" spans="1:25" x14ac:dyDescent="0.25">
      <c r="A2">
        <v>5</v>
      </c>
      <c r="B2" t="s">
        <v>22</v>
      </c>
      <c r="C2">
        <v>1</v>
      </c>
      <c r="D2">
        <v>-99</v>
      </c>
      <c r="E2">
        <v>-99</v>
      </c>
      <c r="F2">
        <v>-99</v>
      </c>
      <c r="G2">
        <v>3</v>
      </c>
      <c r="H2">
        <v>4</v>
      </c>
      <c r="I2">
        <v>-99</v>
      </c>
      <c r="J2">
        <v>25</v>
      </c>
      <c r="K2">
        <v>-1.33891E-3</v>
      </c>
      <c r="L2">
        <v>0.57577100000000003</v>
      </c>
      <c r="M2">
        <v>1</v>
      </c>
      <c r="N2">
        <v>1.23891E-3</v>
      </c>
      <c r="O2">
        <v>0.107587</v>
      </c>
      <c r="P2" s="1">
        <v>1.5009E-15</v>
      </c>
      <c r="Q2" s="1">
        <v>3.7996999999999999E-8</v>
      </c>
      <c r="R2" s="1">
        <v>9.009E-5</v>
      </c>
      <c r="S2" s="1">
        <v>9.8718999999999995E-6</v>
      </c>
      <c r="T2" s="1">
        <v>0</v>
      </c>
      <c r="U2" s="1">
        <v>0</v>
      </c>
      <c r="V2" s="1">
        <v>0</v>
      </c>
      <c r="Y2" s="1"/>
    </row>
    <row r="3" spans="1:25" x14ac:dyDescent="0.25">
      <c r="A3">
        <v>7</v>
      </c>
      <c r="B3" t="s">
        <v>23</v>
      </c>
      <c r="C3">
        <v>1</v>
      </c>
      <c r="D3">
        <v>-99</v>
      </c>
      <c r="E3">
        <v>0</v>
      </c>
      <c r="F3">
        <v>1</v>
      </c>
      <c r="G3">
        <v>3</v>
      </c>
      <c r="H3">
        <v>9.9971099999999993</v>
      </c>
      <c r="I3">
        <v>-99</v>
      </c>
      <c r="J3">
        <v>25</v>
      </c>
      <c r="K3">
        <v>-1.33158E-3</v>
      </c>
      <c r="L3">
        <v>0.57570200000000005</v>
      </c>
      <c r="M3">
        <v>1</v>
      </c>
      <c r="N3">
        <v>1.2315799999999999E-3</v>
      </c>
      <c r="O3">
        <v>0.106963</v>
      </c>
      <c r="P3" s="1">
        <v>3.8110000000000002E-16</v>
      </c>
      <c r="Q3" s="1">
        <v>9.6490999999999997E-9</v>
      </c>
      <c r="R3" s="1">
        <v>2.2877000000000001E-5</v>
      </c>
      <c r="S3" s="1">
        <v>2.5069000000000001E-6</v>
      </c>
      <c r="T3" s="1">
        <v>3.5448E-9</v>
      </c>
      <c r="U3" s="1">
        <v>7.7171999999999996E-6</v>
      </c>
      <c r="V3" s="1">
        <v>6.6884999999999994E-5</v>
      </c>
      <c r="Y3" s="1">
        <f t="shared" ref="Y3:Y19" si="0">T3+U3+V3</f>
        <v>7.4605744799999989E-5</v>
      </c>
    </row>
    <row r="4" spans="1:25" x14ac:dyDescent="0.25">
      <c r="A4">
        <v>8</v>
      </c>
      <c r="B4" t="s">
        <v>23</v>
      </c>
      <c r="C4">
        <v>1</v>
      </c>
      <c r="D4">
        <v>-99</v>
      </c>
      <c r="E4">
        <v>0</v>
      </c>
      <c r="F4">
        <v>1</v>
      </c>
      <c r="G4">
        <v>3.5</v>
      </c>
      <c r="H4">
        <v>9.27684</v>
      </c>
      <c r="I4">
        <v>-99</v>
      </c>
      <c r="J4">
        <v>25</v>
      </c>
      <c r="K4">
        <v>-4.2116799999999998E-4</v>
      </c>
      <c r="L4">
        <v>0.57571600000000001</v>
      </c>
      <c r="M4">
        <v>1.0000199999999999</v>
      </c>
      <c r="N4">
        <v>1.2365099999999999E-3</v>
      </c>
      <c r="O4">
        <v>0.107387</v>
      </c>
      <c r="P4" s="1">
        <v>4.3746999999999999E-15</v>
      </c>
      <c r="Q4" s="1">
        <v>3.5024999999999998E-8</v>
      </c>
      <c r="R4" s="1">
        <v>2.6259999999999999E-5</v>
      </c>
      <c r="S4" s="1">
        <v>9.0998000000000005E-7</v>
      </c>
      <c r="T4" s="1">
        <v>1.4225999999999999E-8</v>
      </c>
      <c r="U4" s="1">
        <v>1.4439E-5</v>
      </c>
      <c r="V4" s="1">
        <v>5.834E-5</v>
      </c>
      <c r="Y4" s="1">
        <f t="shared" si="0"/>
        <v>7.2793225999999997E-5</v>
      </c>
    </row>
    <row r="5" spans="1:25" x14ac:dyDescent="0.25">
      <c r="A5">
        <v>9</v>
      </c>
      <c r="B5" t="s">
        <v>23</v>
      </c>
      <c r="C5">
        <v>1</v>
      </c>
      <c r="D5">
        <v>-99</v>
      </c>
      <c r="E5">
        <v>0</v>
      </c>
      <c r="F5">
        <v>1</v>
      </c>
      <c r="G5">
        <v>4</v>
      </c>
      <c r="H5">
        <v>8.5513600000000007</v>
      </c>
      <c r="I5">
        <v>-99</v>
      </c>
      <c r="J5">
        <v>25</v>
      </c>
      <c r="K5">
        <v>-1.3310700000000001E-4</v>
      </c>
      <c r="L5">
        <v>0.57572500000000004</v>
      </c>
      <c r="M5">
        <v>1.0000199999999999</v>
      </c>
      <c r="N5">
        <v>1.2424300000000001E-3</v>
      </c>
      <c r="O5">
        <v>0.10789899999999999</v>
      </c>
      <c r="P5" s="1">
        <v>4.9020000000000002E-14</v>
      </c>
      <c r="Q5" s="1">
        <v>1.2410999999999999E-7</v>
      </c>
      <c r="R5" s="1">
        <v>2.9425E-5</v>
      </c>
      <c r="S5" s="1">
        <v>3.2244000000000002E-7</v>
      </c>
      <c r="T5" s="1">
        <v>4.4532999999999999E-8</v>
      </c>
      <c r="U5" s="1">
        <v>2.2959000000000002E-5</v>
      </c>
      <c r="V5" s="1">
        <v>4.7123000000000003E-5</v>
      </c>
      <c r="Y5" s="1">
        <f t="shared" si="0"/>
        <v>7.0126533000000011E-5</v>
      </c>
    </row>
    <row r="6" spans="1:25" x14ac:dyDescent="0.25">
      <c r="A6">
        <v>10</v>
      </c>
      <c r="B6" t="s">
        <v>23</v>
      </c>
      <c r="C6">
        <v>1</v>
      </c>
      <c r="D6">
        <v>-99</v>
      </c>
      <c r="E6">
        <v>0</v>
      </c>
      <c r="F6">
        <v>1</v>
      </c>
      <c r="G6">
        <v>4.5</v>
      </c>
      <c r="H6">
        <v>7.9861399999999998</v>
      </c>
      <c r="I6">
        <v>-99</v>
      </c>
      <c r="J6">
        <v>25</v>
      </c>
      <c r="K6" s="1">
        <v>-4.1712000000000003E-5</v>
      </c>
      <c r="L6">
        <v>0.57573200000000002</v>
      </c>
      <c r="M6">
        <v>1.0000199999999999</v>
      </c>
      <c r="N6">
        <v>1.2490999999999999E-3</v>
      </c>
      <c r="O6">
        <v>0.108477</v>
      </c>
      <c r="P6" s="1">
        <v>5.3457000000000001E-13</v>
      </c>
      <c r="Q6" s="1">
        <v>4.2798E-7</v>
      </c>
      <c r="R6" s="1">
        <v>3.2088000000000002E-5</v>
      </c>
      <c r="S6" s="1">
        <v>1.1119000000000001E-7</v>
      </c>
      <c r="T6" s="1">
        <v>1.1810000000000001E-7</v>
      </c>
      <c r="U6" s="1">
        <v>3.2231999999999999E-5</v>
      </c>
      <c r="V6" s="1">
        <v>3.502E-5</v>
      </c>
      <c r="Y6" s="1">
        <f t="shared" si="0"/>
        <v>6.7370100000000007E-5</v>
      </c>
    </row>
    <row r="7" spans="1:25" x14ac:dyDescent="0.25">
      <c r="A7">
        <v>11</v>
      </c>
      <c r="B7" t="s">
        <v>23</v>
      </c>
      <c r="C7">
        <v>1</v>
      </c>
      <c r="D7">
        <v>-99</v>
      </c>
      <c r="E7">
        <v>0</v>
      </c>
      <c r="F7">
        <v>1</v>
      </c>
      <c r="G7">
        <v>5</v>
      </c>
      <c r="H7">
        <v>7.1990499999999997</v>
      </c>
      <c r="I7">
        <v>-99</v>
      </c>
      <c r="J7">
        <v>25</v>
      </c>
      <c r="K7" s="1">
        <v>-1.1922900000000001E-5</v>
      </c>
      <c r="L7">
        <v>0.57574000000000003</v>
      </c>
      <c r="M7">
        <v>1.0000199999999999</v>
      </c>
      <c r="N7">
        <v>1.25643E-3</v>
      </c>
      <c r="O7">
        <v>0.109112</v>
      </c>
      <c r="P7" s="1">
        <v>5.5413000000000002E-12</v>
      </c>
      <c r="Q7" s="1">
        <v>1.4028999999999999E-6</v>
      </c>
      <c r="R7" s="1">
        <v>3.3262000000000001E-5</v>
      </c>
      <c r="S7" s="1">
        <v>3.6448000000000003E-8</v>
      </c>
      <c r="T7" s="1">
        <v>2.8612999999999998E-7</v>
      </c>
      <c r="U7" s="1">
        <v>4.1289999999999999E-5</v>
      </c>
      <c r="V7" s="1">
        <v>2.372E-5</v>
      </c>
      <c r="Y7" s="1">
        <f t="shared" si="0"/>
        <v>6.5296130000000002E-5</v>
      </c>
    </row>
    <row r="8" spans="1:25" x14ac:dyDescent="0.25">
      <c r="A8">
        <v>12</v>
      </c>
      <c r="B8" t="s">
        <v>23</v>
      </c>
      <c r="C8">
        <v>1</v>
      </c>
      <c r="D8">
        <v>-99</v>
      </c>
      <c r="E8">
        <v>0</v>
      </c>
      <c r="F8">
        <v>1</v>
      </c>
      <c r="G8">
        <v>5.5</v>
      </c>
      <c r="H8">
        <v>6.3814900000000003</v>
      </c>
      <c r="I8">
        <v>-99</v>
      </c>
      <c r="J8">
        <v>25</v>
      </c>
      <c r="K8" s="1">
        <v>-1.69612E-8</v>
      </c>
      <c r="L8">
        <v>0.57574999999999998</v>
      </c>
      <c r="M8">
        <v>1.0000199999999999</v>
      </c>
      <c r="N8">
        <v>1.2642700000000001E-3</v>
      </c>
      <c r="O8">
        <v>0.109792</v>
      </c>
      <c r="P8" s="1">
        <v>5.2361999999999998E-11</v>
      </c>
      <c r="Q8" s="1">
        <v>4.1919999999999998E-6</v>
      </c>
      <c r="R8" s="1">
        <v>3.1430000000000002E-5</v>
      </c>
      <c r="S8" s="1">
        <v>1.0891E-8</v>
      </c>
      <c r="T8" s="1">
        <v>6.6988999999999997E-7</v>
      </c>
      <c r="U8" s="1">
        <v>4.9268999999999999E-5</v>
      </c>
      <c r="V8" s="1">
        <v>1.4426E-5</v>
      </c>
      <c r="Y8" s="1">
        <f t="shared" si="0"/>
        <v>6.436488999999999E-5</v>
      </c>
    </row>
    <row r="9" spans="1:25" x14ac:dyDescent="0.25">
      <c r="A9">
        <v>13</v>
      </c>
      <c r="B9" t="s">
        <v>23</v>
      </c>
      <c r="C9">
        <v>1</v>
      </c>
      <c r="D9">
        <v>-99</v>
      </c>
      <c r="E9">
        <v>0</v>
      </c>
      <c r="F9">
        <v>1</v>
      </c>
      <c r="G9">
        <v>6</v>
      </c>
      <c r="H9">
        <v>5.5236099999999997</v>
      </c>
      <c r="I9">
        <v>-99</v>
      </c>
      <c r="J9">
        <v>25</v>
      </c>
      <c r="K9" s="1">
        <v>9.2497500000000007E-6</v>
      </c>
      <c r="L9">
        <v>0.575766</v>
      </c>
      <c r="M9">
        <v>1.0000199999999999</v>
      </c>
      <c r="N9">
        <v>1.2720299999999999E-3</v>
      </c>
      <c r="O9">
        <v>0.11046400000000001</v>
      </c>
      <c r="P9" s="1">
        <v>4.1735999999999999E-10</v>
      </c>
      <c r="Q9" s="1">
        <v>1.0566E-5</v>
      </c>
      <c r="R9" s="1">
        <v>2.5051000000000001E-5</v>
      </c>
      <c r="S9" s="1">
        <v>2.7451E-9</v>
      </c>
      <c r="T9" s="1">
        <v>1.5819000000000001E-6</v>
      </c>
      <c r="U9" s="1">
        <v>5.5142999999999997E-5</v>
      </c>
      <c r="V9" s="1">
        <v>7.6523999999999998E-6</v>
      </c>
      <c r="Y9" s="1">
        <f t="shared" si="0"/>
        <v>6.4377299999999991E-5</v>
      </c>
    </row>
    <row r="10" spans="1:25" x14ac:dyDescent="0.25">
      <c r="A10">
        <v>14</v>
      </c>
      <c r="B10" t="s">
        <v>23</v>
      </c>
      <c r="C10">
        <v>1</v>
      </c>
      <c r="D10">
        <v>-99</v>
      </c>
      <c r="E10">
        <v>0</v>
      </c>
      <c r="F10">
        <v>1</v>
      </c>
      <c r="G10">
        <v>6.5</v>
      </c>
      <c r="H10">
        <v>4.8067200000000003</v>
      </c>
      <c r="I10">
        <v>-99</v>
      </c>
      <c r="J10">
        <v>25</v>
      </c>
      <c r="K10" s="1">
        <v>1.9953600000000002E-5</v>
      </c>
      <c r="L10">
        <v>0.57578799999999997</v>
      </c>
      <c r="M10">
        <v>1.00003</v>
      </c>
      <c r="N10">
        <v>1.27877E-3</v>
      </c>
      <c r="O10">
        <v>0.11104600000000001</v>
      </c>
      <c r="P10" s="1">
        <v>2.5385999999999999E-9</v>
      </c>
      <c r="Q10" s="1">
        <v>2.0322E-5</v>
      </c>
      <c r="R10" s="1">
        <v>1.5237E-5</v>
      </c>
      <c r="S10" s="1">
        <v>5.2797999999999997E-10</v>
      </c>
      <c r="T10" s="1">
        <v>3.8252000000000002E-6</v>
      </c>
      <c r="U10" s="1">
        <v>5.7204999999999999E-5</v>
      </c>
      <c r="V10" s="1">
        <v>3.4058000000000001E-6</v>
      </c>
      <c r="Y10" s="1">
        <f t="shared" si="0"/>
        <v>6.4435999999999991E-5</v>
      </c>
    </row>
    <row r="11" spans="1:25" x14ac:dyDescent="0.25">
      <c r="A11">
        <v>15</v>
      </c>
      <c r="B11" t="s">
        <v>23</v>
      </c>
      <c r="C11">
        <v>1</v>
      </c>
      <c r="D11">
        <v>-99</v>
      </c>
      <c r="E11">
        <v>0</v>
      </c>
      <c r="F11">
        <v>1</v>
      </c>
      <c r="G11">
        <v>7</v>
      </c>
      <c r="H11">
        <v>3.7805800000000001</v>
      </c>
      <c r="I11">
        <v>-99</v>
      </c>
      <c r="J11">
        <v>25</v>
      </c>
      <c r="K11" s="1">
        <v>2.9521899999999999E-5</v>
      </c>
      <c r="L11">
        <v>0.57581000000000004</v>
      </c>
      <c r="M11">
        <v>1.00003</v>
      </c>
      <c r="N11">
        <v>1.2845199999999999E-3</v>
      </c>
      <c r="O11">
        <v>0.111543</v>
      </c>
      <c r="P11" s="1">
        <v>1.1647E-8</v>
      </c>
      <c r="Q11" s="1">
        <v>2.9481000000000001E-5</v>
      </c>
      <c r="R11" s="1">
        <v>6.99E-6</v>
      </c>
      <c r="S11" s="1">
        <v>7.6594999999999995E-11</v>
      </c>
      <c r="T11" s="1">
        <v>8.9336000000000003E-6</v>
      </c>
      <c r="U11" s="1">
        <v>5.3313999999999998E-5</v>
      </c>
      <c r="V11" s="1">
        <v>1.2667000000000001E-6</v>
      </c>
      <c r="Y11" s="1">
        <f t="shared" si="0"/>
        <v>6.351430000000001E-5</v>
      </c>
    </row>
    <row r="12" spans="1:25" x14ac:dyDescent="0.25">
      <c r="A12">
        <v>16</v>
      </c>
      <c r="B12" t="s">
        <v>23</v>
      </c>
      <c r="C12">
        <v>1</v>
      </c>
      <c r="D12">
        <v>-99</v>
      </c>
      <c r="E12">
        <v>0</v>
      </c>
      <c r="F12">
        <v>1</v>
      </c>
      <c r="G12">
        <v>7.5</v>
      </c>
      <c r="H12">
        <v>2.8843200000000002</v>
      </c>
      <c r="I12">
        <v>-99</v>
      </c>
      <c r="J12">
        <v>25</v>
      </c>
      <c r="K12" s="1">
        <v>3.6494300000000001E-5</v>
      </c>
      <c r="L12">
        <v>0.57582800000000001</v>
      </c>
      <c r="M12">
        <v>1.00003</v>
      </c>
      <c r="N12">
        <v>1.2909E-3</v>
      </c>
      <c r="O12">
        <v>0.112095</v>
      </c>
      <c r="P12" s="1">
        <v>4.4938000000000002E-8</v>
      </c>
      <c r="Q12" s="1">
        <v>3.5970999999999998E-5</v>
      </c>
      <c r="R12" s="1">
        <v>2.6970000000000002E-6</v>
      </c>
      <c r="S12" s="1">
        <v>9.3456000000000001E-12</v>
      </c>
      <c r="T12" s="1">
        <v>1.7995E-5</v>
      </c>
      <c r="U12" s="1">
        <v>4.2883000000000003E-5</v>
      </c>
      <c r="V12" s="1">
        <v>4.0681999999999999E-7</v>
      </c>
      <c r="Y12" s="1">
        <f t="shared" si="0"/>
        <v>6.1284820000000008E-5</v>
      </c>
    </row>
    <row r="13" spans="1:25" x14ac:dyDescent="0.25">
      <c r="A13">
        <v>17</v>
      </c>
      <c r="B13" t="s">
        <v>23</v>
      </c>
      <c r="C13">
        <v>1</v>
      </c>
      <c r="D13">
        <v>-99</v>
      </c>
      <c r="E13">
        <v>0</v>
      </c>
      <c r="F13">
        <v>1</v>
      </c>
      <c r="G13">
        <v>8</v>
      </c>
      <c r="H13">
        <v>1.93747</v>
      </c>
      <c r="I13">
        <v>-99</v>
      </c>
      <c r="J13">
        <v>25</v>
      </c>
      <c r="K13" s="1">
        <v>4.2255400000000002E-5</v>
      </c>
      <c r="L13">
        <v>0.57584500000000005</v>
      </c>
      <c r="M13">
        <v>1.00003</v>
      </c>
      <c r="N13">
        <v>1.2990899999999999E-3</v>
      </c>
      <c r="O13">
        <v>0.112804</v>
      </c>
      <c r="P13" s="1">
        <v>1.5979E-7</v>
      </c>
      <c r="Q13" s="1">
        <v>4.0445000000000003E-5</v>
      </c>
      <c r="R13" s="1">
        <v>9.5896000000000001E-7</v>
      </c>
      <c r="S13" s="1">
        <v>1.0507999999999999E-12</v>
      </c>
      <c r="T13" s="1">
        <v>2.9388999999999999E-5</v>
      </c>
      <c r="U13" s="1">
        <v>2.8932E-5</v>
      </c>
      <c r="V13" s="1">
        <v>1.1339E-7</v>
      </c>
      <c r="Y13" s="1">
        <f t="shared" si="0"/>
        <v>5.8434389999999997E-5</v>
      </c>
    </row>
    <row r="14" spans="1:25" x14ac:dyDescent="0.25">
      <c r="A14">
        <v>18</v>
      </c>
      <c r="B14" t="s">
        <v>23</v>
      </c>
      <c r="C14">
        <v>1</v>
      </c>
      <c r="D14">
        <v>-99</v>
      </c>
      <c r="E14">
        <v>0</v>
      </c>
      <c r="F14">
        <v>1</v>
      </c>
      <c r="G14">
        <v>8.5</v>
      </c>
      <c r="H14">
        <v>1.00613</v>
      </c>
      <c r="I14">
        <v>-99</v>
      </c>
      <c r="J14">
        <v>25</v>
      </c>
      <c r="K14" s="1">
        <v>4.9031900000000001E-5</v>
      </c>
      <c r="L14">
        <v>0.57586199999999999</v>
      </c>
      <c r="M14">
        <v>1.00003</v>
      </c>
      <c r="N14">
        <v>1.3088900000000001E-3</v>
      </c>
      <c r="O14">
        <v>0.113652</v>
      </c>
      <c r="P14" s="1">
        <v>5.3972999999999998E-7</v>
      </c>
      <c r="Q14" s="1">
        <v>4.32E-5</v>
      </c>
      <c r="R14" s="1">
        <v>3.2390999999999999E-7</v>
      </c>
      <c r="S14" s="1">
        <v>1.1224E-13</v>
      </c>
      <c r="T14" s="1">
        <v>3.9579999999999997E-5</v>
      </c>
      <c r="U14" s="1">
        <v>1.6327000000000001E-5</v>
      </c>
      <c r="V14" s="1">
        <v>2.6811000000000001E-8</v>
      </c>
      <c r="Y14" s="1">
        <f t="shared" si="0"/>
        <v>5.5933811E-5</v>
      </c>
    </row>
    <row r="15" spans="1:25" x14ac:dyDescent="0.25">
      <c r="A15">
        <v>19</v>
      </c>
      <c r="B15" t="s">
        <v>23</v>
      </c>
      <c r="C15">
        <v>1</v>
      </c>
      <c r="D15">
        <v>-99</v>
      </c>
      <c r="E15">
        <v>0</v>
      </c>
      <c r="F15">
        <v>1</v>
      </c>
      <c r="G15">
        <v>9</v>
      </c>
      <c r="H15">
        <v>0.12199500000000001</v>
      </c>
      <c r="I15">
        <v>-99</v>
      </c>
      <c r="J15">
        <v>25</v>
      </c>
      <c r="K15" s="1">
        <v>6.2734899999999995E-5</v>
      </c>
      <c r="L15">
        <v>0.57588600000000001</v>
      </c>
      <c r="M15">
        <v>1.00003</v>
      </c>
      <c r="N15">
        <v>1.3191100000000001E-3</v>
      </c>
      <c r="O15">
        <v>0.114536</v>
      </c>
      <c r="P15" s="1">
        <v>1.7463999999999999E-6</v>
      </c>
      <c r="Q15" s="1">
        <v>4.4200999999999999E-5</v>
      </c>
      <c r="R15" s="1">
        <v>1.048E-7</v>
      </c>
      <c r="S15" s="1">
        <v>1.1484E-14</v>
      </c>
      <c r="T15" s="1">
        <v>4.6143999999999997E-5</v>
      </c>
      <c r="U15" s="1">
        <v>7.7965999999999992E-6</v>
      </c>
      <c r="V15" s="1">
        <v>5.2443999999999998E-9</v>
      </c>
      <c r="Y15" s="1">
        <f t="shared" si="0"/>
        <v>5.3945844399999994E-5</v>
      </c>
    </row>
    <row r="16" spans="1:25" x14ac:dyDescent="0.25">
      <c r="A16">
        <v>20</v>
      </c>
      <c r="B16" t="s">
        <v>23</v>
      </c>
      <c r="C16">
        <v>1</v>
      </c>
      <c r="D16">
        <v>-99</v>
      </c>
      <c r="E16">
        <v>0</v>
      </c>
      <c r="F16">
        <v>1</v>
      </c>
      <c r="G16">
        <v>9.5</v>
      </c>
      <c r="H16">
        <v>-0.69651799999999997</v>
      </c>
      <c r="I16">
        <v>-99</v>
      </c>
      <c r="J16">
        <v>25</v>
      </c>
      <c r="K16">
        <v>1.0103E-4</v>
      </c>
      <c r="L16">
        <v>0.57593700000000003</v>
      </c>
      <c r="M16">
        <v>1.00003</v>
      </c>
      <c r="N16">
        <v>1.3276099999999999E-3</v>
      </c>
      <c r="O16">
        <v>0.11526500000000001</v>
      </c>
      <c r="P16" s="1">
        <v>5.3446999999999998E-6</v>
      </c>
      <c r="Q16" s="1">
        <v>4.2772000000000003E-5</v>
      </c>
      <c r="R16" s="1">
        <v>3.2071000000000003E-8</v>
      </c>
      <c r="S16" s="1">
        <v>1.1112999999999999E-15</v>
      </c>
      <c r="T16" s="1">
        <v>4.8692000000000001E-5</v>
      </c>
      <c r="U16" s="1">
        <v>3.1559000000000001E-6</v>
      </c>
      <c r="V16" s="1">
        <v>8.1430999999999995E-10</v>
      </c>
      <c r="Y16" s="1">
        <f t="shared" si="0"/>
        <v>5.184871431E-5</v>
      </c>
    </row>
    <row r="17" spans="1:25" x14ac:dyDescent="0.25">
      <c r="A17">
        <v>21</v>
      </c>
      <c r="B17" t="s">
        <v>23</v>
      </c>
      <c r="C17">
        <v>1</v>
      </c>
      <c r="D17">
        <v>-99</v>
      </c>
      <c r="E17">
        <v>0</v>
      </c>
      <c r="F17">
        <v>1</v>
      </c>
      <c r="G17">
        <v>10</v>
      </c>
      <c r="H17">
        <v>-1.46977</v>
      </c>
      <c r="I17">
        <v>-99</v>
      </c>
      <c r="J17">
        <v>25</v>
      </c>
      <c r="K17">
        <v>2.1625099999999999E-4</v>
      </c>
      <c r="L17">
        <v>0.57606999999999997</v>
      </c>
      <c r="M17">
        <v>1.00003</v>
      </c>
      <c r="N17">
        <v>1.33142E-3</v>
      </c>
      <c r="O17">
        <v>0.115573</v>
      </c>
      <c r="P17" s="1">
        <v>1.453E-5</v>
      </c>
      <c r="Q17" s="1">
        <v>3.6761000000000003E-5</v>
      </c>
      <c r="R17" s="1">
        <v>8.7166999999999999E-9</v>
      </c>
      <c r="S17" s="1">
        <v>9.5511999999999995E-17</v>
      </c>
      <c r="T17" s="1">
        <v>4.7639000000000002E-5</v>
      </c>
      <c r="U17" s="1">
        <v>1.0585999999999999E-6</v>
      </c>
      <c r="V17" s="1">
        <v>9.3654000000000003E-11</v>
      </c>
      <c r="Y17" s="1">
        <f t="shared" si="0"/>
        <v>4.8697693654000001E-5</v>
      </c>
    </row>
    <row r="18" spans="1:25" x14ac:dyDescent="0.25">
      <c r="A18">
        <v>22</v>
      </c>
      <c r="B18" t="s">
        <v>23</v>
      </c>
      <c r="C18">
        <v>1</v>
      </c>
      <c r="D18">
        <v>-99</v>
      </c>
      <c r="E18">
        <v>0</v>
      </c>
      <c r="F18">
        <v>1</v>
      </c>
      <c r="G18">
        <v>10.5</v>
      </c>
      <c r="H18">
        <v>-2.2202600000000001</v>
      </c>
      <c r="I18">
        <v>-99</v>
      </c>
      <c r="J18">
        <v>25</v>
      </c>
      <c r="K18">
        <v>5.6507300000000003E-4</v>
      </c>
      <c r="L18">
        <v>0.57643999999999995</v>
      </c>
      <c r="M18">
        <v>1.00003</v>
      </c>
      <c r="N18">
        <v>1.32877E-3</v>
      </c>
      <c r="O18">
        <v>0.115277</v>
      </c>
      <c r="P18" s="1">
        <v>3.1915000000000002E-5</v>
      </c>
      <c r="Q18" s="1">
        <v>2.5514E-5</v>
      </c>
      <c r="R18" s="1">
        <v>1.9134E-9</v>
      </c>
      <c r="S18" s="1">
        <v>6.6295999999999998E-18</v>
      </c>
      <c r="T18" s="1">
        <v>4.2284999999999999E-5</v>
      </c>
      <c r="U18" s="1">
        <v>2.8075999999999998E-7</v>
      </c>
      <c r="V18" s="1">
        <v>7.4211999999999999E-12</v>
      </c>
      <c r="Y18" s="1">
        <f t="shared" si="0"/>
        <v>4.2565767421200003E-5</v>
      </c>
    </row>
    <row r="19" spans="1:25" x14ac:dyDescent="0.25">
      <c r="A19">
        <v>23</v>
      </c>
      <c r="B19" t="s">
        <v>23</v>
      </c>
      <c r="C19">
        <v>1</v>
      </c>
      <c r="D19">
        <v>-99</v>
      </c>
      <c r="E19">
        <v>0</v>
      </c>
      <c r="F19">
        <v>1</v>
      </c>
      <c r="G19">
        <v>11</v>
      </c>
      <c r="H19">
        <v>-2.95675</v>
      </c>
      <c r="I19">
        <v>-99</v>
      </c>
      <c r="J19">
        <v>25</v>
      </c>
      <c r="K19">
        <v>1.63083E-3</v>
      </c>
      <c r="L19">
        <v>0.57749700000000004</v>
      </c>
      <c r="M19">
        <v>1.00003</v>
      </c>
      <c r="N19">
        <v>1.32183E-3</v>
      </c>
      <c r="O19">
        <v>0.114478</v>
      </c>
      <c r="P19" s="1">
        <v>5.6035000000000001E-5</v>
      </c>
      <c r="Q19" s="1">
        <v>1.4134999999999999E-5</v>
      </c>
      <c r="R19" s="1">
        <v>3.3531999999999999E-10</v>
      </c>
      <c r="S19" s="1">
        <v>3.6735000000000001E-19</v>
      </c>
      <c r="T19" s="1">
        <v>2.9773000000000001E-5</v>
      </c>
      <c r="U19" s="1">
        <v>5.3476000000000002E-8</v>
      </c>
      <c r="V19" s="1">
        <v>3.8237999999999998E-13</v>
      </c>
      <c r="Y19" s="1">
        <f t="shared" si="0"/>
        <v>2.9826476382380001E-5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9"/>
  <sheetViews>
    <sheetView topLeftCell="E1" workbookViewId="0">
      <selection activeCell="Y1" sqref="Y1:Y1048576"/>
    </sheetView>
  </sheetViews>
  <sheetFormatPr defaultRowHeight="15" x14ac:dyDescent="0.25"/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Y1" t="s">
        <v>24</v>
      </c>
    </row>
    <row r="2" spans="1:25" x14ac:dyDescent="0.25">
      <c r="A2">
        <v>5</v>
      </c>
      <c r="B2" t="s">
        <v>22</v>
      </c>
      <c r="C2">
        <v>1</v>
      </c>
      <c r="D2">
        <v>-99</v>
      </c>
      <c r="E2">
        <v>-99</v>
      </c>
      <c r="F2">
        <v>-99</v>
      </c>
      <c r="G2">
        <v>3</v>
      </c>
      <c r="H2">
        <v>4</v>
      </c>
      <c r="I2">
        <v>-99</v>
      </c>
      <c r="J2">
        <v>25</v>
      </c>
      <c r="K2">
        <v>-1.3475900000000001E-3</v>
      </c>
      <c r="L2">
        <v>0.66786000000000001</v>
      </c>
      <c r="M2">
        <v>1</v>
      </c>
      <c r="N2">
        <v>1.24759E-3</v>
      </c>
      <c r="O2">
        <v>9.3401799999999993E-2</v>
      </c>
      <c r="P2" s="1">
        <v>1.7484999999999999E-15</v>
      </c>
      <c r="Q2" s="1">
        <v>3.6804000000000003E-8</v>
      </c>
      <c r="R2" s="1">
        <v>9.0181999999999998E-5</v>
      </c>
      <c r="S2" s="1">
        <v>9.7813999999999992E-6</v>
      </c>
      <c r="T2" s="1">
        <v>0</v>
      </c>
      <c r="U2" s="1">
        <v>0</v>
      </c>
      <c r="V2" s="1">
        <v>0</v>
      </c>
      <c r="Y2" s="1"/>
    </row>
    <row r="3" spans="1:25" x14ac:dyDescent="0.25">
      <c r="A3">
        <v>7</v>
      </c>
      <c r="B3" t="s">
        <v>23</v>
      </c>
      <c r="C3">
        <v>1</v>
      </c>
      <c r="D3">
        <v>-99</v>
      </c>
      <c r="E3">
        <v>0</v>
      </c>
      <c r="F3">
        <v>1</v>
      </c>
      <c r="G3">
        <v>3</v>
      </c>
      <c r="H3">
        <v>10.000500000000001</v>
      </c>
      <c r="I3">
        <v>-99</v>
      </c>
      <c r="J3">
        <v>25</v>
      </c>
      <c r="K3">
        <v>-1.34033E-3</v>
      </c>
      <c r="L3">
        <v>0.66779200000000005</v>
      </c>
      <c r="M3">
        <v>1</v>
      </c>
      <c r="N3">
        <v>1.2400099999999999E-3</v>
      </c>
      <c r="O3">
        <v>9.2843800000000004E-2</v>
      </c>
      <c r="P3" s="1">
        <v>4.4540999999999997E-16</v>
      </c>
      <c r="Q3" s="1">
        <v>9.3763999999999992E-9</v>
      </c>
      <c r="R3" s="1">
        <v>2.2974999999999999E-5</v>
      </c>
      <c r="S3" s="1">
        <v>2.4918999999999998E-6</v>
      </c>
      <c r="T3" s="1">
        <v>3.3912E-9</v>
      </c>
      <c r="U3" s="1">
        <v>7.5527999999999999E-6</v>
      </c>
      <c r="V3" s="1">
        <v>6.6968E-5</v>
      </c>
      <c r="Y3" s="1">
        <f t="shared" ref="Y3:Y19" si="0">T3+U3+V3</f>
        <v>7.4524191199999999E-5</v>
      </c>
    </row>
    <row r="4" spans="1:25" x14ac:dyDescent="0.25">
      <c r="A4">
        <v>8</v>
      </c>
      <c r="B4" t="s">
        <v>23</v>
      </c>
      <c r="C4">
        <v>1</v>
      </c>
      <c r="D4">
        <v>-99</v>
      </c>
      <c r="E4">
        <v>0</v>
      </c>
      <c r="F4">
        <v>1</v>
      </c>
      <c r="G4">
        <v>3.5</v>
      </c>
      <c r="H4">
        <v>9.2791099999999993</v>
      </c>
      <c r="I4">
        <v>-99</v>
      </c>
      <c r="J4">
        <v>25</v>
      </c>
      <c r="K4">
        <v>-4.2392999999999999E-4</v>
      </c>
      <c r="L4">
        <v>0.66780700000000004</v>
      </c>
      <c r="M4">
        <v>1.0000199999999999</v>
      </c>
      <c r="N4">
        <v>1.24512E-3</v>
      </c>
      <c r="O4">
        <v>9.3223200000000006E-2</v>
      </c>
      <c r="P4" s="1">
        <v>5.0866000000000003E-15</v>
      </c>
      <c r="Q4" s="1">
        <v>3.386E-8</v>
      </c>
      <c r="R4" s="1">
        <v>2.6237E-5</v>
      </c>
      <c r="S4" s="1">
        <v>8.9989999999999995E-7</v>
      </c>
      <c r="T4" s="1">
        <v>1.4003E-8</v>
      </c>
      <c r="U4" s="1">
        <v>1.4341E-5</v>
      </c>
      <c r="V4" s="1">
        <v>5.8473000000000001E-5</v>
      </c>
      <c r="Y4" s="1">
        <f t="shared" si="0"/>
        <v>7.2828003000000003E-5</v>
      </c>
    </row>
    <row r="5" spans="1:25" x14ac:dyDescent="0.25">
      <c r="A5">
        <v>9</v>
      </c>
      <c r="B5" t="s">
        <v>23</v>
      </c>
      <c r="C5">
        <v>1</v>
      </c>
      <c r="D5">
        <v>-99</v>
      </c>
      <c r="E5">
        <v>0</v>
      </c>
      <c r="F5">
        <v>1</v>
      </c>
      <c r="G5">
        <v>4</v>
      </c>
      <c r="H5">
        <v>8.5526499999999999</v>
      </c>
      <c r="I5">
        <v>-99</v>
      </c>
      <c r="J5">
        <v>25</v>
      </c>
      <c r="K5">
        <v>-1.3398199999999999E-4</v>
      </c>
      <c r="L5">
        <v>0.66781599999999997</v>
      </c>
      <c r="M5">
        <v>1.0000199999999999</v>
      </c>
      <c r="N5">
        <v>1.25135E-3</v>
      </c>
      <c r="O5">
        <v>9.3687900000000005E-2</v>
      </c>
      <c r="P5" s="1">
        <v>5.6741000000000003E-14</v>
      </c>
      <c r="Q5" s="1">
        <v>1.1943999999999999E-7</v>
      </c>
      <c r="R5" s="1">
        <v>2.9266000000000001E-5</v>
      </c>
      <c r="S5" s="1">
        <v>3.1743E-7</v>
      </c>
      <c r="T5" s="1">
        <v>4.4761E-8</v>
      </c>
      <c r="U5" s="1">
        <v>2.3039000000000001E-5</v>
      </c>
      <c r="V5" s="1">
        <v>4.7209999999999997E-5</v>
      </c>
      <c r="Y5" s="1">
        <f t="shared" si="0"/>
        <v>7.0293760999999994E-5</v>
      </c>
    </row>
    <row r="6" spans="1:25" x14ac:dyDescent="0.25">
      <c r="A6">
        <v>10</v>
      </c>
      <c r="B6" t="s">
        <v>23</v>
      </c>
      <c r="C6">
        <v>1</v>
      </c>
      <c r="D6">
        <v>-99</v>
      </c>
      <c r="E6">
        <v>0</v>
      </c>
      <c r="F6">
        <v>1</v>
      </c>
      <c r="G6">
        <v>4.5</v>
      </c>
      <c r="H6">
        <v>7.9855799999999997</v>
      </c>
      <c r="I6">
        <v>-99</v>
      </c>
      <c r="J6">
        <v>25</v>
      </c>
      <c r="K6" s="1">
        <v>-4.2004700000000001E-5</v>
      </c>
      <c r="L6">
        <v>0.66782399999999997</v>
      </c>
      <c r="M6">
        <v>1.0000199999999999</v>
      </c>
      <c r="N6">
        <v>1.2584199999999999E-3</v>
      </c>
      <c r="O6">
        <v>9.4215599999999997E-2</v>
      </c>
      <c r="P6" s="1">
        <v>6.1627999999999998E-13</v>
      </c>
      <c r="Q6" s="1">
        <v>4.1022999999999999E-7</v>
      </c>
      <c r="R6" s="1">
        <v>3.1786999999999999E-5</v>
      </c>
      <c r="S6" s="1">
        <v>1.0903E-7</v>
      </c>
      <c r="T6" s="1">
        <v>1.2043E-7</v>
      </c>
      <c r="U6" s="1">
        <v>3.2549000000000003E-5</v>
      </c>
      <c r="V6" s="1">
        <v>3.5021999999999998E-5</v>
      </c>
      <c r="Y6" s="1">
        <f t="shared" si="0"/>
        <v>6.7691430000000003E-5</v>
      </c>
    </row>
    <row r="7" spans="1:25" x14ac:dyDescent="0.25">
      <c r="A7">
        <v>11</v>
      </c>
      <c r="B7" t="s">
        <v>23</v>
      </c>
      <c r="C7">
        <v>1</v>
      </c>
      <c r="D7">
        <v>-99</v>
      </c>
      <c r="E7">
        <v>0</v>
      </c>
      <c r="F7">
        <v>1</v>
      </c>
      <c r="G7">
        <v>5</v>
      </c>
      <c r="H7">
        <v>7.19794</v>
      </c>
      <c r="I7">
        <v>-99</v>
      </c>
      <c r="J7">
        <v>25</v>
      </c>
      <c r="K7" s="1">
        <v>-1.2072800000000001E-5</v>
      </c>
      <c r="L7">
        <v>0.66783099999999995</v>
      </c>
      <c r="M7">
        <v>1.0000199999999999</v>
      </c>
      <c r="N7">
        <v>1.26618E-3</v>
      </c>
      <c r="O7">
        <v>9.4796099999999994E-2</v>
      </c>
      <c r="P7" s="1">
        <v>6.3645000000000002E-12</v>
      </c>
      <c r="Q7" s="1">
        <v>1.3397000000000001E-6</v>
      </c>
      <c r="R7" s="1">
        <v>3.2827000000000003E-5</v>
      </c>
      <c r="S7" s="1">
        <v>3.5605E-8</v>
      </c>
      <c r="T7" s="1">
        <v>2.9485999999999998E-7</v>
      </c>
      <c r="U7" s="1">
        <v>4.1851999999999998E-5</v>
      </c>
      <c r="V7" s="1">
        <v>2.3649E-5</v>
      </c>
      <c r="Y7" s="1">
        <f t="shared" si="0"/>
        <v>6.5795859999999995E-5</v>
      </c>
    </row>
    <row r="8" spans="1:25" x14ac:dyDescent="0.25">
      <c r="A8">
        <v>12</v>
      </c>
      <c r="B8" t="s">
        <v>23</v>
      </c>
      <c r="C8">
        <v>1</v>
      </c>
      <c r="D8">
        <v>-99</v>
      </c>
      <c r="E8">
        <v>0</v>
      </c>
      <c r="F8">
        <v>1</v>
      </c>
      <c r="G8">
        <v>5.5</v>
      </c>
      <c r="H8">
        <v>6.3751800000000003</v>
      </c>
      <c r="I8">
        <v>-99</v>
      </c>
      <c r="J8">
        <v>25</v>
      </c>
      <c r="K8" s="1">
        <v>-2.4424799999999998E-7</v>
      </c>
      <c r="L8">
        <v>0.66784100000000002</v>
      </c>
      <c r="M8">
        <v>1.0000199999999999</v>
      </c>
      <c r="N8">
        <v>1.27447E-3</v>
      </c>
      <c r="O8">
        <v>9.5415100000000003E-2</v>
      </c>
      <c r="P8" s="1">
        <v>5.9973999999999996E-11</v>
      </c>
      <c r="Q8" s="1">
        <v>3.9921000000000003E-6</v>
      </c>
      <c r="R8" s="1">
        <v>3.0932999999999997E-5</v>
      </c>
      <c r="S8" s="1">
        <v>1.061E-8</v>
      </c>
      <c r="T8" s="1">
        <v>6.9594000000000002E-7</v>
      </c>
      <c r="U8" s="1">
        <v>5.0040999999999997E-5</v>
      </c>
      <c r="V8" s="1">
        <v>1.4324999999999999E-5</v>
      </c>
      <c r="Y8" s="1">
        <f t="shared" si="0"/>
        <v>6.5061939999999991E-5</v>
      </c>
    </row>
    <row r="9" spans="1:25" x14ac:dyDescent="0.25">
      <c r="A9">
        <v>13</v>
      </c>
      <c r="B9" t="s">
        <v>23</v>
      </c>
      <c r="C9">
        <v>1</v>
      </c>
      <c r="D9">
        <v>-99</v>
      </c>
      <c r="E9">
        <v>0</v>
      </c>
      <c r="F9">
        <v>1</v>
      </c>
      <c r="G9">
        <v>6</v>
      </c>
      <c r="H9">
        <v>5.5066300000000004</v>
      </c>
      <c r="I9">
        <v>-99</v>
      </c>
      <c r="J9">
        <v>25</v>
      </c>
      <c r="K9" s="1">
        <v>8.7379300000000002E-6</v>
      </c>
      <c r="L9">
        <v>0.66785600000000001</v>
      </c>
      <c r="M9">
        <v>1.00003</v>
      </c>
      <c r="N9">
        <v>1.28265E-3</v>
      </c>
      <c r="O9">
        <v>9.6026700000000006E-2</v>
      </c>
      <c r="P9" s="1">
        <v>4.7805000000000002E-10</v>
      </c>
      <c r="Q9" s="1">
        <v>1.0062E-5</v>
      </c>
      <c r="R9" s="1">
        <v>2.4655999999999999E-5</v>
      </c>
      <c r="S9" s="1">
        <v>2.6743000000000002E-9</v>
      </c>
      <c r="T9" s="1">
        <v>1.6523E-6</v>
      </c>
      <c r="U9" s="1">
        <v>5.6053E-5</v>
      </c>
      <c r="V9" s="1">
        <v>7.5704999999999998E-6</v>
      </c>
      <c r="Y9" s="1">
        <f t="shared" si="0"/>
        <v>6.5275800000000003E-5</v>
      </c>
    </row>
    <row r="10" spans="1:25" x14ac:dyDescent="0.25">
      <c r="A10">
        <v>14</v>
      </c>
      <c r="B10" t="s">
        <v>23</v>
      </c>
      <c r="C10">
        <v>1</v>
      </c>
      <c r="D10">
        <v>-99</v>
      </c>
      <c r="E10">
        <v>0</v>
      </c>
      <c r="F10">
        <v>1</v>
      </c>
      <c r="G10">
        <v>6.5</v>
      </c>
      <c r="H10">
        <v>4.80626</v>
      </c>
      <c r="I10">
        <v>-99</v>
      </c>
      <c r="J10">
        <v>25</v>
      </c>
      <c r="K10" s="1">
        <v>1.90631E-5</v>
      </c>
      <c r="L10">
        <v>0.66787799999999997</v>
      </c>
      <c r="M10">
        <v>1.00003</v>
      </c>
      <c r="N10">
        <v>1.2897900000000001E-3</v>
      </c>
      <c r="O10">
        <v>9.6559000000000006E-2</v>
      </c>
      <c r="P10" s="1">
        <v>2.9196000000000001E-9</v>
      </c>
      <c r="Q10" s="1">
        <v>1.9432999999999998E-5</v>
      </c>
      <c r="R10" s="1">
        <v>1.5058000000000001E-5</v>
      </c>
      <c r="S10" s="1">
        <v>5.1646999999999998E-10</v>
      </c>
      <c r="T10" s="1">
        <v>4.0005000000000001E-6</v>
      </c>
      <c r="U10" s="1">
        <v>5.8139E-5</v>
      </c>
      <c r="V10" s="1">
        <v>3.3637999999999999E-6</v>
      </c>
      <c r="Y10" s="1">
        <f t="shared" si="0"/>
        <v>6.5503300000000007E-5</v>
      </c>
    </row>
    <row r="11" spans="1:25" x14ac:dyDescent="0.25">
      <c r="A11">
        <v>15</v>
      </c>
      <c r="B11" t="s">
        <v>23</v>
      </c>
      <c r="C11">
        <v>1</v>
      </c>
      <c r="D11">
        <v>-99</v>
      </c>
      <c r="E11">
        <v>0</v>
      </c>
      <c r="F11">
        <v>1</v>
      </c>
      <c r="G11">
        <v>7</v>
      </c>
      <c r="H11">
        <v>3.7917800000000002</v>
      </c>
      <c r="I11">
        <v>-99</v>
      </c>
      <c r="J11">
        <v>25</v>
      </c>
      <c r="K11" s="1">
        <v>2.83865E-5</v>
      </c>
      <c r="L11">
        <v>0.66789900000000002</v>
      </c>
      <c r="M11">
        <v>1.00003</v>
      </c>
      <c r="N11">
        <v>1.29594E-3</v>
      </c>
      <c r="O11">
        <v>9.7018199999999999E-2</v>
      </c>
      <c r="P11" s="1">
        <v>1.3466E-8</v>
      </c>
      <c r="Q11" s="1">
        <v>2.8340999999999999E-5</v>
      </c>
      <c r="R11" s="1">
        <v>6.9446000000000004E-6</v>
      </c>
      <c r="S11" s="1">
        <v>7.5324E-11</v>
      </c>
      <c r="T11" s="1">
        <v>9.3192000000000005E-6</v>
      </c>
      <c r="U11" s="1">
        <v>5.4126999999999999E-5</v>
      </c>
      <c r="V11" s="1">
        <v>1.2516E-6</v>
      </c>
      <c r="Y11" s="1">
        <f t="shared" si="0"/>
        <v>6.4697800000000009E-5</v>
      </c>
    </row>
    <row r="12" spans="1:25" x14ac:dyDescent="0.25">
      <c r="A12">
        <v>16</v>
      </c>
      <c r="B12" t="s">
        <v>23</v>
      </c>
      <c r="C12">
        <v>1</v>
      </c>
      <c r="D12">
        <v>-99</v>
      </c>
      <c r="E12">
        <v>0</v>
      </c>
      <c r="F12">
        <v>1</v>
      </c>
      <c r="G12">
        <v>7.5</v>
      </c>
      <c r="H12">
        <v>2.8926500000000002</v>
      </c>
      <c r="I12">
        <v>-99</v>
      </c>
      <c r="J12">
        <v>25</v>
      </c>
      <c r="K12" s="1">
        <v>3.5236700000000001E-5</v>
      </c>
      <c r="L12">
        <v>0.66791699999999998</v>
      </c>
      <c r="M12">
        <v>1.00003</v>
      </c>
      <c r="N12">
        <v>1.3028099999999999E-3</v>
      </c>
      <c r="O12">
        <v>9.7530199999999997E-2</v>
      </c>
      <c r="P12" s="1">
        <v>5.2128000000000002E-8</v>
      </c>
      <c r="Q12" s="1">
        <v>3.4693000000000001E-5</v>
      </c>
      <c r="R12" s="1">
        <v>2.6883000000000002E-6</v>
      </c>
      <c r="S12" s="1">
        <v>9.2206000000000005E-12</v>
      </c>
      <c r="T12" s="1">
        <v>1.8698999999999998E-5</v>
      </c>
      <c r="U12" s="1">
        <v>4.3463E-5</v>
      </c>
      <c r="V12" s="1">
        <v>4.0218000000000002E-7</v>
      </c>
      <c r="Y12" s="1">
        <f t="shared" si="0"/>
        <v>6.2564179999999992E-5</v>
      </c>
    </row>
    <row r="13" spans="1:25" x14ac:dyDescent="0.25">
      <c r="A13">
        <v>17</v>
      </c>
      <c r="B13" t="s">
        <v>23</v>
      </c>
      <c r="C13">
        <v>1</v>
      </c>
      <c r="D13">
        <v>-99</v>
      </c>
      <c r="E13">
        <v>0</v>
      </c>
      <c r="F13">
        <v>1</v>
      </c>
      <c r="G13">
        <v>8</v>
      </c>
      <c r="H13">
        <v>1.9442299999999999</v>
      </c>
      <c r="I13">
        <v>-99</v>
      </c>
      <c r="J13">
        <v>25</v>
      </c>
      <c r="K13" s="1">
        <v>4.0902699999999997E-5</v>
      </c>
      <c r="L13">
        <v>0.66793400000000003</v>
      </c>
      <c r="M13">
        <v>1.00003</v>
      </c>
      <c r="N13">
        <v>1.3115500000000001E-3</v>
      </c>
      <c r="O13">
        <v>9.8182900000000004E-2</v>
      </c>
      <c r="P13" s="1">
        <v>1.8542E-7</v>
      </c>
      <c r="Q13" s="1">
        <v>3.9022E-5</v>
      </c>
      <c r="R13" s="1">
        <v>9.5618999999999999E-7</v>
      </c>
      <c r="S13" s="1">
        <v>1.0371000000000001E-12</v>
      </c>
      <c r="T13" s="1">
        <v>3.0459000000000001E-5</v>
      </c>
      <c r="U13" s="1">
        <v>2.9263000000000001E-5</v>
      </c>
      <c r="V13" s="1">
        <v>1.1193E-7</v>
      </c>
      <c r="Y13" s="1">
        <f t="shared" si="0"/>
        <v>5.9833929999999999E-5</v>
      </c>
    </row>
    <row r="14" spans="1:25" x14ac:dyDescent="0.25">
      <c r="A14">
        <v>18</v>
      </c>
      <c r="B14" t="s">
        <v>23</v>
      </c>
      <c r="C14">
        <v>1</v>
      </c>
      <c r="D14">
        <v>-99</v>
      </c>
      <c r="E14">
        <v>0</v>
      </c>
      <c r="F14">
        <v>1</v>
      </c>
      <c r="G14">
        <v>8.5</v>
      </c>
      <c r="H14">
        <v>1.01126</v>
      </c>
      <c r="I14">
        <v>-99</v>
      </c>
      <c r="J14">
        <v>25</v>
      </c>
      <c r="K14" s="1">
        <v>4.7621699999999998E-5</v>
      </c>
      <c r="L14">
        <v>0.66795099999999996</v>
      </c>
      <c r="M14">
        <v>1.00003</v>
      </c>
      <c r="N14">
        <v>1.3218800000000001E-3</v>
      </c>
      <c r="O14">
        <v>9.8954100000000003E-2</v>
      </c>
      <c r="P14" s="1">
        <v>6.2448999999999995E-7</v>
      </c>
      <c r="Q14" s="1">
        <v>4.1559E-5</v>
      </c>
      <c r="R14" s="1">
        <v>3.2203999999999999E-7</v>
      </c>
      <c r="S14" s="1">
        <v>1.1046E-13</v>
      </c>
      <c r="T14" s="1">
        <v>4.1001000000000003E-5</v>
      </c>
      <c r="U14" s="1">
        <v>1.6464E-5</v>
      </c>
      <c r="V14" s="1">
        <v>2.632E-8</v>
      </c>
      <c r="Y14" s="1">
        <f t="shared" si="0"/>
        <v>5.7491320000000004E-5</v>
      </c>
    </row>
    <row r="15" spans="1:25" x14ac:dyDescent="0.25">
      <c r="A15">
        <v>19</v>
      </c>
      <c r="B15" t="s">
        <v>23</v>
      </c>
      <c r="C15">
        <v>1</v>
      </c>
      <c r="D15">
        <v>-99</v>
      </c>
      <c r="E15">
        <v>0</v>
      </c>
      <c r="F15">
        <v>1</v>
      </c>
      <c r="G15">
        <v>9</v>
      </c>
      <c r="H15">
        <v>0.124888</v>
      </c>
      <c r="I15">
        <v>-99</v>
      </c>
      <c r="J15">
        <v>25</v>
      </c>
      <c r="K15" s="1">
        <v>6.1458599999999995E-5</v>
      </c>
      <c r="L15">
        <v>0.66797499999999999</v>
      </c>
      <c r="M15">
        <v>1.00003</v>
      </c>
      <c r="N15">
        <v>1.3324700000000001E-3</v>
      </c>
      <c r="O15">
        <v>9.9743999999999999E-2</v>
      </c>
      <c r="P15" s="1">
        <v>2.0059999999999999E-6</v>
      </c>
      <c r="Q15" s="1">
        <v>4.2212999999999997E-5</v>
      </c>
      <c r="R15" s="1">
        <v>1.0344000000000001E-7</v>
      </c>
      <c r="S15" s="1">
        <v>1.1219E-14</v>
      </c>
      <c r="T15" s="1">
        <v>4.7849000000000002E-5</v>
      </c>
      <c r="U15" s="1">
        <v>7.8208999999999999E-6</v>
      </c>
      <c r="V15" s="1">
        <v>5.0890999999999997E-9</v>
      </c>
      <c r="Y15" s="1">
        <f t="shared" si="0"/>
        <v>5.56749891E-5</v>
      </c>
    </row>
    <row r="16" spans="1:25" x14ac:dyDescent="0.25">
      <c r="A16">
        <v>20</v>
      </c>
      <c r="B16" t="s">
        <v>23</v>
      </c>
      <c r="C16">
        <v>1</v>
      </c>
      <c r="D16">
        <v>-99</v>
      </c>
      <c r="E16">
        <v>0</v>
      </c>
      <c r="F16">
        <v>1</v>
      </c>
      <c r="G16">
        <v>9.5</v>
      </c>
      <c r="H16">
        <v>-0.69722700000000004</v>
      </c>
      <c r="I16">
        <v>-99</v>
      </c>
      <c r="J16">
        <v>25</v>
      </c>
      <c r="K16">
        <v>1.00497E-4</v>
      </c>
      <c r="L16">
        <v>0.66802600000000001</v>
      </c>
      <c r="M16">
        <v>1.00003</v>
      </c>
      <c r="N16">
        <v>1.34095E-3</v>
      </c>
      <c r="O16">
        <v>0.100372</v>
      </c>
      <c r="P16" s="1">
        <v>6.0456000000000002E-6</v>
      </c>
      <c r="Q16" s="1">
        <v>4.0227E-5</v>
      </c>
      <c r="R16" s="1">
        <v>3.1172999999999997E-8</v>
      </c>
      <c r="S16" s="1">
        <v>1.0692000000000001E-15</v>
      </c>
      <c r="T16" s="1">
        <v>5.0556999999999997E-5</v>
      </c>
      <c r="U16" s="1">
        <v>3.1356000000000001E-6</v>
      </c>
      <c r="V16" s="1">
        <v>7.7418999999999999E-10</v>
      </c>
      <c r="Y16" s="1">
        <f t="shared" si="0"/>
        <v>5.3693374189999992E-5</v>
      </c>
    </row>
    <row r="17" spans="1:25" x14ac:dyDescent="0.25">
      <c r="A17">
        <v>21</v>
      </c>
      <c r="B17" t="s">
        <v>23</v>
      </c>
      <c r="C17">
        <v>1</v>
      </c>
      <c r="D17">
        <v>-99</v>
      </c>
      <c r="E17">
        <v>0</v>
      </c>
      <c r="F17">
        <v>1</v>
      </c>
      <c r="G17">
        <v>10</v>
      </c>
      <c r="H17">
        <v>-1.4765299999999999</v>
      </c>
      <c r="I17">
        <v>-99</v>
      </c>
      <c r="J17">
        <v>25</v>
      </c>
      <c r="K17">
        <v>2.17851E-4</v>
      </c>
      <c r="L17">
        <v>0.66816200000000003</v>
      </c>
      <c r="M17">
        <v>1.00003</v>
      </c>
      <c r="N17">
        <v>1.3441900000000001E-3</v>
      </c>
      <c r="O17">
        <v>0.10059800000000001</v>
      </c>
      <c r="P17" s="1">
        <v>1.596E-5</v>
      </c>
      <c r="Q17" s="1">
        <v>3.3574000000000001E-5</v>
      </c>
      <c r="R17" s="1">
        <v>8.2278000000000001E-9</v>
      </c>
      <c r="S17" s="1">
        <v>8.9239000000000004E-17</v>
      </c>
      <c r="T17" s="1">
        <v>4.9419999999999998E-5</v>
      </c>
      <c r="U17" s="1">
        <v>1.0349E-6</v>
      </c>
      <c r="V17" s="1">
        <v>8.6282000000000003E-11</v>
      </c>
      <c r="Y17" s="1">
        <f t="shared" si="0"/>
        <v>5.0454986281999995E-5</v>
      </c>
    </row>
    <row r="18" spans="1:25" x14ac:dyDescent="0.25">
      <c r="A18">
        <v>22</v>
      </c>
      <c r="B18" t="s">
        <v>23</v>
      </c>
      <c r="C18">
        <v>1</v>
      </c>
      <c r="D18">
        <v>-99</v>
      </c>
      <c r="E18">
        <v>0</v>
      </c>
      <c r="F18">
        <v>1</v>
      </c>
      <c r="G18">
        <v>10.5</v>
      </c>
      <c r="H18">
        <v>-2.2350099999999999</v>
      </c>
      <c r="I18">
        <v>-99</v>
      </c>
      <c r="J18">
        <v>25</v>
      </c>
      <c r="K18">
        <v>5.7160000000000002E-4</v>
      </c>
      <c r="L18">
        <v>0.66853399999999996</v>
      </c>
      <c r="M18">
        <v>1.00003</v>
      </c>
      <c r="N18">
        <v>1.3406099999999999E-3</v>
      </c>
      <c r="O18">
        <v>0.100281</v>
      </c>
      <c r="P18" s="1">
        <v>3.3692999999999997E-5</v>
      </c>
      <c r="Q18" s="1">
        <v>2.2396999999999999E-5</v>
      </c>
      <c r="R18" s="1">
        <v>1.7359E-9</v>
      </c>
      <c r="S18" s="1">
        <v>5.9537999999999999E-18</v>
      </c>
      <c r="T18" s="1">
        <v>4.3637000000000003E-5</v>
      </c>
      <c r="U18" s="1">
        <v>2.6855000000000001E-7</v>
      </c>
      <c r="V18" s="1">
        <v>6.5794E-12</v>
      </c>
      <c r="Y18" s="1">
        <f t="shared" si="0"/>
        <v>4.3905556579400007E-5</v>
      </c>
    </row>
    <row r="19" spans="1:25" x14ac:dyDescent="0.25">
      <c r="A19">
        <v>23</v>
      </c>
      <c r="B19" t="s">
        <v>23</v>
      </c>
      <c r="C19">
        <v>1</v>
      </c>
      <c r="D19">
        <v>-99</v>
      </c>
      <c r="E19">
        <v>0</v>
      </c>
      <c r="F19">
        <v>1</v>
      </c>
      <c r="G19">
        <v>11</v>
      </c>
      <c r="H19">
        <v>-2.9748700000000001</v>
      </c>
      <c r="I19">
        <v>-99</v>
      </c>
      <c r="J19">
        <v>25</v>
      </c>
      <c r="K19">
        <v>1.6508899999999999E-3</v>
      </c>
      <c r="L19">
        <v>0.66959299999999999</v>
      </c>
      <c r="M19">
        <v>1.00003</v>
      </c>
      <c r="N19">
        <v>1.3328299999999999E-3</v>
      </c>
      <c r="O19">
        <v>9.9549600000000002E-2</v>
      </c>
      <c r="P19" s="1">
        <v>5.7500000000000002E-5</v>
      </c>
      <c r="Q19" s="1">
        <v>1.2062000000000001E-5</v>
      </c>
      <c r="R19" s="1">
        <v>2.9577E-10</v>
      </c>
      <c r="S19" s="1">
        <v>3.2075000000000001E-19</v>
      </c>
      <c r="T19" s="1">
        <v>3.0385000000000001E-5</v>
      </c>
      <c r="U19" s="1">
        <v>4.9947999999999998E-8</v>
      </c>
      <c r="V19" s="1">
        <v>3.2687E-13</v>
      </c>
      <c r="Y19" s="1">
        <f t="shared" si="0"/>
        <v>3.0434948326870001E-5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plot</vt:lpstr>
      <vt:lpstr>0-1</vt:lpstr>
      <vt:lpstr>0-2</vt:lpstr>
      <vt:lpstr>0-3</vt:lpstr>
      <vt:lpstr>0-4</vt:lpstr>
      <vt:lpstr>0-5</vt:lpstr>
      <vt:lpstr>0-6</vt:lpstr>
      <vt:lpstr>0-7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Bullen, Jay</dc:creator>
  <cp:lastModifiedBy>Bullen, Jay</cp:lastModifiedBy>
  <dcterms:created xsi:type="dcterms:W3CDTF">2019-03-13T10:51:42Z</dcterms:created>
  <dcterms:modified xsi:type="dcterms:W3CDTF">2019-03-13T10:59:09Z</dcterms:modified>
</cp:coreProperties>
</file>