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eissd2k_ic_ac_uk/Documents/4 Teaching/Lectures/LabCourseEnvironGeochemistry ESE 50012/Modules/Ch 12 Surface Complexation Models/Model answers PHREEQC/"/>
    </mc:Choice>
  </mc:AlternateContent>
  <xr:revisionPtr revIDLastSave="6" documentId="11_7921CB37B7508C6B957325C4A3103916D19C6B1B" xr6:coauthVersionLast="47" xr6:coauthVersionMax="47" xr10:uidLastSave="{395B6D0E-943F-4C62-BB1C-1A3208126D0B}"/>
  <bookViews>
    <workbookView xWindow="-108" yWindow="-108" windowWidth="23256" windowHeight="13896" xr2:uid="{00000000-000D-0000-FFFF-FFFF0000000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</calcChain>
</file>

<file path=xl/sharedStrings.xml><?xml version="1.0" encoding="utf-8"?>
<sst xmlns="http://schemas.openxmlformats.org/spreadsheetml/2006/main" count="41" uniqueCount="25">
  <si>
    <t xml:space="preserve">         sim</t>
  </si>
  <si>
    <t xml:space="preserve">       state</t>
  </si>
  <si>
    <t xml:space="preserve">        soln</t>
  </si>
  <si>
    <t xml:space="preserve">      dist_x</t>
  </si>
  <si>
    <t xml:space="preserve">        time</t>
  </si>
  <si>
    <t xml:space="preserve">        step</t>
  </si>
  <si>
    <t xml:space="preserve">          pH</t>
  </si>
  <si>
    <t xml:space="preserve">          pe</t>
  </si>
  <si>
    <t xml:space="preserve">    reaction</t>
  </si>
  <si>
    <t xml:space="preserve">        temp</t>
  </si>
  <si>
    <t xml:space="preserve">         Alk</t>
  </si>
  <si>
    <t xml:space="preserve">          mu</t>
  </si>
  <si>
    <t xml:space="preserve">    mass_H2O</t>
  </si>
  <si>
    <t xml:space="preserve">      charge</t>
  </si>
  <si>
    <t xml:space="preserve">     pct_err</t>
  </si>
  <si>
    <t xml:space="preserve">    m_AsO4-3</t>
  </si>
  <si>
    <t xml:space="preserve">   m_HAsO4-2</t>
  </si>
  <si>
    <t xml:space="preserve">   m_H2AsO4-</t>
  </si>
  <si>
    <t xml:space="preserve">    m_H3AsO4</t>
  </si>
  <si>
    <t>m_Surf_AsO4-2</t>
  </si>
  <si>
    <t>m_Surf_HAsO4-</t>
  </si>
  <si>
    <t>m_Surf_H2AsO4</t>
  </si>
  <si>
    <t xml:space="preserve">      i_soln</t>
  </si>
  <si>
    <t xml:space="preserve">       react</t>
  </si>
  <si>
    <t>As(ads)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</si>
</sst>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77559055118113"/>
          <c:y val="7.2254335260115612E-2"/>
          <c:w val="0.49479352580927383"/>
          <c:h val="0.7331247250163094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output!$Y$1</c:f>
              <c:strCache>
                <c:ptCount val="1"/>
                <c:pt idx="0">
                  <c:v>As(ads)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output!$G$3:$G$19</c:f>
              <c:numCache>
                <c:formatCode>General</c:formatCode>
                <c:ptCount val="1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output!$Y$3:$Y$19</c:f>
              <c:numCache>
                <c:formatCode>0.00E+00</c:formatCode>
                <c:ptCount val="17"/>
                <c:pt idx="0">
                  <c:v>7.6376178500000007E-5</c:v>
                </c:pt>
                <c:pt idx="1">
                  <c:v>7.3474273999999998E-5</c:v>
                </c:pt>
                <c:pt idx="2">
                  <c:v>6.9618487999999998E-5</c:v>
                </c:pt>
                <c:pt idx="3">
                  <c:v>6.5480275999999998E-5</c:v>
                </c:pt>
                <c:pt idx="4">
                  <c:v>6.1778450000000008E-5</c:v>
                </c:pt>
                <c:pt idx="5">
                  <c:v>5.9040319999999999E-5</c:v>
                </c:pt>
                <c:pt idx="6">
                  <c:v>5.7324020000000003E-5</c:v>
                </c:pt>
                <c:pt idx="7">
                  <c:v>5.6133600000000001E-5</c:v>
                </c:pt>
                <c:pt idx="8">
                  <c:v>5.4634099999999999E-5</c:v>
                </c:pt>
                <c:pt idx="9">
                  <c:v>5.2089289999999995E-5</c:v>
                </c:pt>
                <c:pt idx="10">
                  <c:v>4.8540660000000005E-5</c:v>
                </c:pt>
                <c:pt idx="11">
                  <c:v>4.4781966999999995E-5</c:v>
                </c:pt>
                <c:pt idx="12">
                  <c:v>4.1211355199999997E-5</c:v>
                </c:pt>
                <c:pt idx="13">
                  <c:v>3.7575208600000004E-5</c:v>
                </c:pt>
                <c:pt idx="14">
                  <c:v>3.3718934340000007E-5</c:v>
                </c:pt>
                <c:pt idx="15">
                  <c:v>2.9359475497999998E-5</c:v>
                </c:pt>
                <c:pt idx="16">
                  <c:v>2.2389881890699998E-5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0B-44D1-9C61-F99CB507FE65}"/>
            </c:ext>
          </c:extLst>
        </c:ser>
        <c:ser>
          <c:idx val="1"/>
          <c:order val="1"/>
          <c:tx>
            <c:strRef>
              <c:f>output!$T$1</c:f>
              <c:strCache>
                <c:ptCount val="1"/>
                <c:pt idx="0">
                  <c:v>m_Surf_AsO4-2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output!$G$3:$G$19</c:f>
              <c:numCache>
                <c:formatCode>General</c:formatCode>
                <c:ptCount val="1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output!$T$3:$T$20</c:f>
              <c:numCache>
                <c:formatCode>0.00E+00</c:formatCode>
                <c:ptCount val="18"/>
                <c:pt idx="0">
                  <c:v>5.0784999999999998E-9</c:v>
                </c:pt>
                <c:pt idx="1">
                  <c:v>1.5274000000000002E-8</c:v>
                </c:pt>
                <c:pt idx="2">
                  <c:v>3.9488000000000003E-8</c:v>
                </c:pt>
                <c:pt idx="3">
                  <c:v>9.2275999999999999E-8</c:v>
                </c:pt>
                <c:pt idx="4">
                  <c:v>2.0345000000000001E-7</c:v>
                </c:pt>
                <c:pt idx="5">
                  <c:v>4.3931999999999999E-7</c:v>
                </c:pt>
                <c:pt idx="6">
                  <c:v>9.6761999999999998E-7</c:v>
                </c:pt>
                <c:pt idx="7">
                  <c:v>2.2475000000000001E-6</c:v>
                </c:pt>
                <c:pt idx="8">
                  <c:v>5.3283000000000003E-6</c:v>
                </c:pt>
                <c:pt idx="9">
                  <c:v>1.1413000000000001E-5</c:v>
                </c:pt>
                <c:pt idx="10">
                  <c:v>1.9879000000000001E-5</c:v>
                </c:pt>
                <c:pt idx="11">
                  <c:v>2.7821E-5</c:v>
                </c:pt>
                <c:pt idx="12">
                  <c:v>3.2676999999999999E-5</c:v>
                </c:pt>
                <c:pt idx="13">
                  <c:v>3.3874000000000001E-5</c:v>
                </c:pt>
                <c:pt idx="14">
                  <c:v>3.2339000000000003E-5</c:v>
                </c:pt>
                <c:pt idx="15">
                  <c:v>2.8929E-5</c:v>
                </c:pt>
                <c:pt idx="16">
                  <c:v>2.2286999999999999E-5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0B-44D1-9C61-F99CB507FE65}"/>
            </c:ext>
          </c:extLst>
        </c:ser>
        <c:ser>
          <c:idx val="2"/>
          <c:order val="2"/>
          <c:tx>
            <c:strRef>
              <c:f>output!$U$1</c:f>
              <c:strCache>
                <c:ptCount val="1"/>
                <c:pt idx="0">
                  <c:v>m_Surf_HAsO4-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output!$G$3:$G$20</c:f>
              <c:numCache>
                <c:formatCode>General</c:formatCode>
                <c:ptCount val="18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output!$U$3:$U$20</c:f>
              <c:numCache>
                <c:formatCode>0.00E+00</c:formatCode>
                <c:ptCount val="18"/>
                <c:pt idx="0">
                  <c:v>9.2530999999999995E-6</c:v>
                </c:pt>
                <c:pt idx="1">
                  <c:v>1.4979E-5</c:v>
                </c:pt>
                <c:pt idx="2">
                  <c:v>2.1775000000000001E-5</c:v>
                </c:pt>
                <c:pt idx="3">
                  <c:v>2.9030000000000002E-5</c:v>
                </c:pt>
                <c:pt idx="4">
                  <c:v>3.6089E-5</c:v>
                </c:pt>
                <c:pt idx="5">
                  <c:v>4.2348999999999997E-5</c:v>
                </c:pt>
                <c:pt idx="6">
                  <c:v>4.7193E-5</c:v>
                </c:pt>
                <c:pt idx="7">
                  <c:v>4.9539000000000001E-5</c:v>
                </c:pt>
                <c:pt idx="8">
                  <c:v>4.7611999999999997E-5</c:v>
                </c:pt>
                <c:pt idx="9">
                  <c:v>4.0114999999999998E-5</c:v>
                </c:pt>
                <c:pt idx="10">
                  <c:v>2.8498999999999999E-5</c:v>
                </c:pt>
                <c:pt idx="11">
                  <c:v>1.6920000000000001E-5</c:v>
                </c:pt>
                <c:pt idx="12">
                  <c:v>8.5254999999999999E-6</c:v>
                </c:pt>
                <c:pt idx="13">
                  <c:v>3.6996000000000001E-6</c:v>
                </c:pt>
                <c:pt idx="14">
                  <c:v>1.3797000000000001E-6</c:v>
                </c:pt>
                <c:pt idx="15">
                  <c:v>4.3044999999999999E-7</c:v>
                </c:pt>
                <c:pt idx="16">
                  <c:v>1.0288000000000001E-7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0B-44D1-9C61-F99CB507FE65}"/>
            </c:ext>
          </c:extLst>
        </c:ser>
        <c:ser>
          <c:idx val="3"/>
          <c:order val="3"/>
          <c:tx>
            <c:strRef>
              <c:f>output!$V$1</c:f>
              <c:strCache>
                <c:ptCount val="1"/>
                <c:pt idx="0">
                  <c:v>m_Surf_H2AsO4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output!$G$3:$G$22</c:f>
              <c:numCache>
                <c:formatCode>General</c:formatCode>
                <c:ptCount val="20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output!$V$3:$V$20</c:f>
              <c:numCache>
                <c:formatCode>0.00E+00</c:formatCode>
                <c:ptCount val="18"/>
                <c:pt idx="0">
                  <c:v>6.7118000000000004E-5</c:v>
                </c:pt>
                <c:pt idx="1">
                  <c:v>5.8480000000000003E-5</c:v>
                </c:pt>
                <c:pt idx="2">
                  <c:v>4.7803999999999998E-5</c:v>
                </c:pt>
                <c:pt idx="3">
                  <c:v>3.6358E-5</c:v>
                </c:pt>
                <c:pt idx="4">
                  <c:v>2.5486E-5</c:v>
                </c:pt>
                <c:pt idx="5">
                  <c:v>1.6252E-5</c:v>
                </c:pt>
                <c:pt idx="6">
                  <c:v>9.1633999999999994E-6</c:v>
                </c:pt>
                <c:pt idx="7">
                  <c:v>4.3471000000000003E-6</c:v>
                </c:pt>
                <c:pt idx="8">
                  <c:v>1.6938E-6</c:v>
                </c:pt>
                <c:pt idx="9">
                  <c:v>5.6128999999999997E-7</c:v>
                </c:pt>
                <c:pt idx="10">
                  <c:v>1.6266E-7</c:v>
                </c:pt>
                <c:pt idx="11">
                  <c:v>4.0966999999999999E-8</c:v>
                </c:pt>
                <c:pt idx="12">
                  <c:v>8.8551999999999998E-9</c:v>
                </c:pt>
                <c:pt idx="13">
                  <c:v>1.6086E-9</c:v>
                </c:pt>
                <c:pt idx="14">
                  <c:v>2.3433999999999999E-10</c:v>
                </c:pt>
                <c:pt idx="15">
                  <c:v>2.5498000000000001E-11</c:v>
                </c:pt>
                <c:pt idx="16">
                  <c:v>1.8907E-12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0B-44D1-9C61-F99CB507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692784"/>
        <c:axId val="1097693568"/>
      </c:scatterChart>
      <c:valAx>
        <c:axId val="1097692784"/>
        <c:scaling>
          <c:orientation val="minMax"/>
          <c:max val="11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693568"/>
        <c:crosses val="autoZero"/>
        <c:crossBetween val="midCat"/>
      </c:valAx>
      <c:valAx>
        <c:axId val="1097693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692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5</xdr:row>
      <xdr:rowOff>57150</xdr:rowOff>
    </xdr:from>
    <xdr:to>
      <xdr:col>9</xdr:col>
      <xdr:colOff>314325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P1" sqref="P1:S19"/>
    </sheetView>
  </sheetViews>
  <sheetFormatPr defaultRowHeight="14.4" x14ac:dyDescent="0.3"/>
  <cols>
    <col min="16" max="16" width="11.21875" bestFit="1" customWidth="1"/>
    <col min="17" max="18" width="12" bestFit="1" customWidth="1"/>
    <col min="19" max="19" width="11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</row>
    <row r="2" spans="1:25" x14ac:dyDescent="0.3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-1.22886E-3</v>
      </c>
      <c r="L2">
        <v>9.9619899999999997E-2</v>
      </c>
      <c r="M2">
        <v>1</v>
      </c>
      <c r="N2">
        <v>1.12886E-3</v>
      </c>
      <c r="O2">
        <v>0.56658600000000003</v>
      </c>
      <c r="P2" s="1">
        <v>3.1017000000000002E-16</v>
      </c>
      <c r="Q2" s="1">
        <v>3.1446999999999997E-8</v>
      </c>
      <c r="R2" s="1">
        <v>8.8509000000000002E-5</v>
      </c>
      <c r="S2" s="1">
        <v>1.1459E-5</v>
      </c>
      <c r="T2" s="1">
        <v>0</v>
      </c>
      <c r="U2" s="1">
        <v>0</v>
      </c>
      <c r="V2" s="1">
        <v>0</v>
      </c>
      <c r="Y2" s="1"/>
    </row>
    <row r="3" spans="1:25" x14ac:dyDescent="0.3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9.9831400000000006</v>
      </c>
      <c r="I3">
        <v>-99</v>
      </c>
      <c r="J3">
        <v>25</v>
      </c>
      <c r="K3">
        <v>-1.2201E-3</v>
      </c>
      <c r="L3">
        <v>9.9550799999999995E-2</v>
      </c>
      <c r="M3">
        <v>1</v>
      </c>
      <c r="N3">
        <v>1.12484E-3</v>
      </c>
      <c r="O3">
        <v>0.56495799999999996</v>
      </c>
      <c r="P3" s="1">
        <v>7.3236000000000001E-17</v>
      </c>
      <c r="Q3" s="1">
        <v>7.4279E-9</v>
      </c>
      <c r="R3" s="1">
        <v>2.0908999999999999E-5</v>
      </c>
      <c r="S3" s="1">
        <v>2.7072999999999999E-6</v>
      </c>
      <c r="T3" s="1">
        <v>5.0784999999999998E-9</v>
      </c>
      <c r="U3" s="1">
        <v>9.2530999999999995E-6</v>
      </c>
      <c r="V3" s="1">
        <v>6.7118000000000004E-5</v>
      </c>
      <c r="Y3" s="1">
        <f t="shared" ref="Y3:Y19" si="0">T3+U3+V3</f>
        <v>7.6376178500000007E-5</v>
      </c>
    </row>
    <row r="4" spans="1:25" x14ac:dyDescent="0.3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9.2850800000000007</v>
      </c>
      <c r="I4">
        <v>-99</v>
      </c>
      <c r="J4">
        <v>25</v>
      </c>
      <c r="K4">
        <v>-3.8599199999999999E-4</v>
      </c>
      <c r="L4">
        <v>9.9558400000000005E-2</v>
      </c>
      <c r="M4">
        <v>1.0000199999999999</v>
      </c>
      <c r="N4">
        <v>1.12769E-3</v>
      </c>
      <c r="O4">
        <v>0.56633699999999998</v>
      </c>
      <c r="P4" s="1">
        <v>8.9157999999999998E-16</v>
      </c>
      <c r="Q4" s="1">
        <v>2.8594999999999999E-8</v>
      </c>
      <c r="R4" s="1">
        <v>2.5454000000000001E-5</v>
      </c>
      <c r="S4" s="1">
        <v>1.0421999999999999E-6</v>
      </c>
      <c r="T4" s="1">
        <v>1.5274000000000002E-8</v>
      </c>
      <c r="U4" s="1">
        <v>1.4979E-5</v>
      </c>
      <c r="V4" s="1">
        <v>5.8480000000000003E-5</v>
      </c>
      <c r="Y4" s="1">
        <f t="shared" si="0"/>
        <v>7.3474273999999998E-5</v>
      </c>
    </row>
    <row r="5" spans="1:25" x14ac:dyDescent="0.3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8.5693999999999999</v>
      </c>
      <c r="I5">
        <v>-99</v>
      </c>
      <c r="J5">
        <v>25</v>
      </c>
      <c r="K5">
        <v>-1.2202200000000001E-4</v>
      </c>
      <c r="L5">
        <v>9.9565000000000001E-2</v>
      </c>
      <c r="M5">
        <v>1.0000199999999999</v>
      </c>
      <c r="N5">
        <v>1.13068E-3</v>
      </c>
      <c r="O5">
        <v>0.56779999999999997</v>
      </c>
      <c r="P5" s="1">
        <v>1.0469E-14</v>
      </c>
      <c r="Q5" s="1">
        <v>1.0617E-7</v>
      </c>
      <c r="R5" s="1">
        <v>2.9886000000000002E-5</v>
      </c>
      <c r="S5" s="1">
        <v>3.8696000000000002E-7</v>
      </c>
      <c r="T5" s="1">
        <v>3.9488000000000003E-8</v>
      </c>
      <c r="U5" s="1">
        <v>2.1775000000000001E-5</v>
      </c>
      <c r="V5" s="1">
        <v>4.7803999999999998E-5</v>
      </c>
      <c r="Y5" s="1">
        <f t="shared" si="0"/>
        <v>6.9618487999999998E-5</v>
      </c>
    </row>
    <row r="6" spans="1:25" x14ac:dyDescent="0.3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8.0089600000000001</v>
      </c>
      <c r="I6">
        <v>-99</v>
      </c>
      <c r="J6">
        <v>25</v>
      </c>
      <c r="K6" s="1">
        <v>-3.8254899999999999E-5</v>
      </c>
      <c r="L6">
        <v>9.9571599999999996E-2</v>
      </c>
      <c r="M6">
        <v>1.0000199999999999</v>
      </c>
      <c r="N6">
        <v>1.1339099999999999E-3</v>
      </c>
      <c r="O6">
        <v>0.56938299999999997</v>
      </c>
      <c r="P6" s="1">
        <v>1.1909E-13</v>
      </c>
      <c r="Q6" s="1">
        <v>3.8192999999999998E-7</v>
      </c>
      <c r="R6" s="1">
        <v>3.3995999999999998E-5</v>
      </c>
      <c r="S6" s="1">
        <v>1.3918999999999999E-7</v>
      </c>
      <c r="T6" s="1">
        <v>9.2275999999999999E-8</v>
      </c>
      <c r="U6" s="1">
        <v>2.9030000000000002E-5</v>
      </c>
      <c r="V6" s="1">
        <v>3.6358E-5</v>
      </c>
      <c r="Y6" s="1">
        <f t="shared" si="0"/>
        <v>6.5480275999999998E-5</v>
      </c>
    </row>
    <row r="7" spans="1:25" x14ac:dyDescent="0.3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7.0803900000000004</v>
      </c>
      <c r="I7">
        <v>-99</v>
      </c>
      <c r="J7">
        <v>25</v>
      </c>
      <c r="K7" s="1">
        <v>-1.09111E-5</v>
      </c>
      <c r="L7">
        <v>9.9579000000000001E-2</v>
      </c>
      <c r="M7">
        <v>1.0000199999999999</v>
      </c>
      <c r="N7">
        <v>1.1375000000000001E-3</v>
      </c>
      <c r="O7">
        <v>0.57114900000000002</v>
      </c>
      <c r="P7" s="1">
        <v>1.2913999999999999E-12</v>
      </c>
      <c r="Q7" s="1">
        <v>1.3095999999999999E-6</v>
      </c>
      <c r="R7" s="1">
        <v>3.6862E-5</v>
      </c>
      <c r="S7" s="1">
        <v>4.7727000000000001E-8</v>
      </c>
      <c r="T7" s="1">
        <v>2.0345000000000001E-7</v>
      </c>
      <c r="U7" s="1">
        <v>3.6089E-5</v>
      </c>
      <c r="V7" s="1">
        <v>2.5486E-5</v>
      </c>
      <c r="Y7" s="1">
        <f t="shared" si="0"/>
        <v>6.1778450000000008E-5</v>
      </c>
    </row>
    <row r="8" spans="1:25" x14ac:dyDescent="0.3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6.4130500000000001</v>
      </c>
      <c r="I8">
        <v>-99</v>
      </c>
      <c r="J8">
        <v>25</v>
      </c>
      <c r="K8" s="1">
        <v>2.74284E-7</v>
      </c>
      <c r="L8">
        <v>9.9589399999999995E-2</v>
      </c>
      <c r="M8">
        <v>1.0000199999999999</v>
      </c>
      <c r="N8">
        <v>1.1415100000000001E-3</v>
      </c>
      <c r="O8">
        <v>0.57312099999999999</v>
      </c>
      <c r="P8" s="1">
        <v>1.2896E-11</v>
      </c>
      <c r="Q8" s="1">
        <v>4.1351999999999998E-6</v>
      </c>
      <c r="R8" s="1">
        <v>3.6807000000000002E-5</v>
      </c>
      <c r="S8" s="1">
        <v>1.5069999999999999E-8</v>
      </c>
      <c r="T8" s="1">
        <v>4.3931999999999999E-7</v>
      </c>
      <c r="U8" s="1">
        <v>4.2348999999999997E-5</v>
      </c>
      <c r="V8" s="1">
        <v>1.6252E-5</v>
      </c>
      <c r="Y8" s="1">
        <f t="shared" si="0"/>
        <v>5.9040319999999999E-5</v>
      </c>
    </row>
    <row r="9" spans="1:25" x14ac:dyDescent="0.3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5.6806000000000001</v>
      </c>
      <c r="I9">
        <v>-99</v>
      </c>
      <c r="J9">
        <v>25</v>
      </c>
      <c r="K9" s="1">
        <v>9.9770699999999993E-6</v>
      </c>
      <c r="L9">
        <v>9.9607200000000007E-2</v>
      </c>
      <c r="M9">
        <v>1.0000199999999999</v>
      </c>
      <c r="N9">
        <v>1.1457399999999999E-3</v>
      </c>
      <c r="O9">
        <v>0.57518199999999997</v>
      </c>
      <c r="P9" s="1">
        <v>1.1032E-10</v>
      </c>
      <c r="Q9" s="1">
        <v>1.1185999999999999E-5</v>
      </c>
      <c r="R9" s="1">
        <v>3.1483999999999999E-5</v>
      </c>
      <c r="S9" s="1">
        <v>4.0761999999999996E-9</v>
      </c>
      <c r="T9" s="1">
        <v>9.6761999999999998E-7</v>
      </c>
      <c r="U9" s="1">
        <v>4.7193E-5</v>
      </c>
      <c r="V9" s="1">
        <v>9.1633999999999994E-6</v>
      </c>
      <c r="Y9" s="1">
        <f t="shared" si="0"/>
        <v>5.7324020000000003E-5</v>
      </c>
    </row>
    <row r="10" spans="1:25" x14ac:dyDescent="0.3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4.7704899999999997</v>
      </c>
      <c r="I10">
        <v>-99</v>
      </c>
      <c r="J10">
        <v>25</v>
      </c>
      <c r="K10" s="1">
        <v>2.2863100000000001E-5</v>
      </c>
      <c r="L10">
        <v>9.9634299999999995E-2</v>
      </c>
      <c r="M10">
        <v>1.0000199999999999</v>
      </c>
      <c r="N10">
        <v>1.1495699999999999E-3</v>
      </c>
      <c r="O10">
        <v>0.57701599999999997</v>
      </c>
      <c r="P10" s="1">
        <v>7.2389999999999995E-10</v>
      </c>
      <c r="Q10" s="1">
        <v>2.3207999999999999E-5</v>
      </c>
      <c r="R10" s="1">
        <v>2.0655000000000001E-5</v>
      </c>
      <c r="S10" s="1">
        <v>8.4563999999999999E-10</v>
      </c>
      <c r="T10" s="1">
        <v>2.2475000000000001E-6</v>
      </c>
      <c r="U10" s="1">
        <v>4.9539000000000001E-5</v>
      </c>
      <c r="V10" s="1">
        <v>4.3471000000000003E-6</v>
      </c>
      <c r="Y10" s="1">
        <f t="shared" si="0"/>
        <v>5.6133600000000001E-5</v>
      </c>
    </row>
    <row r="11" spans="1:25" x14ac:dyDescent="0.3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3.8210099999999998</v>
      </c>
      <c r="I11">
        <v>-99</v>
      </c>
      <c r="J11">
        <v>25</v>
      </c>
      <c r="K11" s="1">
        <v>3.5408899999999999E-5</v>
      </c>
      <c r="L11">
        <v>9.9661600000000003E-2</v>
      </c>
      <c r="M11">
        <v>1.0000199999999999</v>
      </c>
      <c r="N11">
        <v>1.15262E-3</v>
      </c>
      <c r="O11">
        <v>0.578457</v>
      </c>
      <c r="P11" s="1">
        <v>3.4921E-9</v>
      </c>
      <c r="Q11" s="1">
        <v>3.5398000000000002E-5</v>
      </c>
      <c r="R11" s="1">
        <v>9.9619000000000003E-6</v>
      </c>
      <c r="S11" s="1">
        <v>1.2897E-10</v>
      </c>
      <c r="T11" s="1">
        <v>5.3283000000000003E-6</v>
      </c>
      <c r="U11" s="1">
        <v>4.7611999999999997E-5</v>
      </c>
      <c r="V11" s="1">
        <v>1.6938E-6</v>
      </c>
      <c r="Y11" s="1">
        <f t="shared" si="0"/>
        <v>5.4634099999999999E-5</v>
      </c>
    </row>
    <row r="12" spans="1:25" x14ac:dyDescent="0.3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2.95255</v>
      </c>
      <c r="I12">
        <v>-99</v>
      </c>
      <c r="J12">
        <v>25</v>
      </c>
      <c r="K12" s="1">
        <v>4.4368800000000001E-5</v>
      </c>
      <c r="L12">
        <v>9.9682999999999994E-2</v>
      </c>
      <c r="M12">
        <v>1.0000199999999999</v>
      </c>
      <c r="N12">
        <v>1.15559E-3</v>
      </c>
      <c r="O12">
        <v>0.57987699999999998</v>
      </c>
      <c r="P12" s="1">
        <v>1.3722E-8</v>
      </c>
      <c r="Q12" s="1">
        <v>4.3980999999999998E-5</v>
      </c>
      <c r="R12" s="1">
        <v>3.9138999999999999E-6</v>
      </c>
      <c r="S12" s="1">
        <v>1.6023E-11</v>
      </c>
      <c r="T12" s="1">
        <v>1.1413000000000001E-5</v>
      </c>
      <c r="U12" s="1">
        <v>4.0114999999999998E-5</v>
      </c>
      <c r="V12" s="1">
        <v>5.6128999999999997E-7</v>
      </c>
      <c r="Y12" s="1">
        <f t="shared" si="0"/>
        <v>5.2089289999999995E-5</v>
      </c>
    </row>
    <row r="13" spans="1:25" x14ac:dyDescent="0.3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2.0205600000000001</v>
      </c>
      <c r="I13">
        <v>-99</v>
      </c>
      <c r="J13">
        <v>25</v>
      </c>
      <c r="K13" s="1">
        <v>5.1348599999999998E-5</v>
      </c>
      <c r="L13">
        <v>9.9701499999999998E-2</v>
      </c>
      <c r="M13">
        <v>1.0000199999999999</v>
      </c>
      <c r="N13">
        <v>1.1594699999999999E-3</v>
      </c>
      <c r="O13">
        <v>0.58175100000000002</v>
      </c>
      <c r="P13" s="1">
        <v>4.9337E-8</v>
      </c>
      <c r="Q13" s="1">
        <v>5.0000000000000002E-5</v>
      </c>
      <c r="R13" s="1">
        <v>1.407E-6</v>
      </c>
      <c r="S13" s="1">
        <v>1.8214999999999999E-12</v>
      </c>
      <c r="T13" s="1">
        <v>1.9879000000000001E-5</v>
      </c>
      <c r="U13" s="1">
        <v>2.8498999999999999E-5</v>
      </c>
      <c r="V13" s="1">
        <v>1.6266E-7</v>
      </c>
      <c r="Y13" s="1">
        <f t="shared" si="0"/>
        <v>4.8540660000000005E-5</v>
      </c>
    </row>
    <row r="14" spans="1:25" x14ac:dyDescent="0.3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1.0918699999999999</v>
      </c>
      <c r="I14">
        <v>-99</v>
      </c>
      <c r="J14">
        <v>25</v>
      </c>
      <c r="K14" s="1">
        <v>5.8888899999999998E-5</v>
      </c>
      <c r="L14">
        <v>9.9720000000000003E-2</v>
      </c>
      <c r="M14">
        <v>1.0000199999999999</v>
      </c>
      <c r="N14">
        <v>1.16457E-3</v>
      </c>
      <c r="O14">
        <v>0.584229</v>
      </c>
      <c r="P14" s="1">
        <v>1.7027E-7</v>
      </c>
      <c r="Q14" s="1">
        <v>5.4559999999999999E-5</v>
      </c>
      <c r="R14" s="1">
        <v>4.8550000000000005E-7</v>
      </c>
      <c r="S14" s="1">
        <v>1.9876E-13</v>
      </c>
      <c r="T14" s="1">
        <v>2.7821E-5</v>
      </c>
      <c r="U14" s="1">
        <v>1.6920000000000001E-5</v>
      </c>
      <c r="V14" s="1">
        <v>4.0966999999999999E-8</v>
      </c>
      <c r="Y14" s="1">
        <f t="shared" si="0"/>
        <v>4.4781966999999995E-5</v>
      </c>
    </row>
    <row r="15" spans="1:25" x14ac:dyDescent="0.3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0.20916499999999999</v>
      </c>
      <c r="I15">
        <v>-99</v>
      </c>
      <c r="J15">
        <v>25</v>
      </c>
      <c r="K15" s="1">
        <v>7.1818300000000003E-5</v>
      </c>
      <c r="L15">
        <v>9.9743999999999999E-2</v>
      </c>
      <c r="M15">
        <v>1.0000199999999999</v>
      </c>
      <c r="N15">
        <v>1.1706799999999999E-3</v>
      </c>
      <c r="O15">
        <v>0.58718099999999995</v>
      </c>
      <c r="P15" s="1">
        <v>5.7293999999999999E-7</v>
      </c>
      <c r="Q15" s="1">
        <v>5.8050000000000002E-5</v>
      </c>
      <c r="R15" s="1">
        <v>1.6334000000000001E-7</v>
      </c>
      <c r="S15" s="1">
        <v>2.1145000000000001E-14</v>
      </c>
      <c r="T15" s="1">
        <v>3.2676999999999999E-5</v>
      </c>
      <c r="U15" s="1">
        <v>8.5254999999999999E-6</v>
      </c>
      <c r="V15" s="1">
        <v>8.8551999999999998E-9</v>
      </c>
      <c r="Y15" s="1">
        <f t="shared" si="0"/>
        <v>4.1211355199999997E-5</v>
      </c>
    </row>
    <row r="16" spans="1:25" x14ac:dyDescent="0.3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-0.60127399999999998</v>
      </c>
      <c r="I16">
        <v>-99</v>
      </c>
      <c r="J16">
        <v>25</v>
      </c>
      <c r="K16">
        <v>1.04177E-4</v>
      </c>
      <c r="L16">
        <v>9.9789000000000003E-2</v>
      </c>
      <c r="M16">
        <v>1.0000199999999999</v>
      </c>
      <c r="N16">
        <v>1.17717E-3</v>
      </c>
      <c r="O16">
        <v>0.59020499999999998</v>
      </c>
      <c r="P16" s="1">
        <v>1.8881E-6</v>
      </c>
      <c r="Q16" s="1">
        <v>6.0479999999999997E-5</v>
      </c>
      <c r="R16" s="1">
        <v>5.3809999999999997E-8</v>
      </c>
      <c r="S16" s="1">
        <v>2.2027000000000001E-15</v>
      </c>
      <c r="T16" s="1">
        <v>3.3874000000000001E-5</v>
      </c>
      <c r="U16" s="1">
        <v>3.6996000000000001E-6</v>
      </c>
      <c r="V16" s="1">
        <v>1.6086E-9</v>
      </c>
      <c r="Y16" s="1">
        <f t="shared" si="0"/>
        <v>3.7575208600000004E-5</v>
      </c>
    </row>
    <row r="17" spans="1:25" x14ac:dyDescent="0.3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-1.3527499999999999</v>
      </c>
      <c r="I17">
        <v>-99</v>
      </c>
      <c r="J17">
        <v>25</v>
      </c>
      <c r="K17">
        <v>1.98474E-4</v>
      </c>
      <c r="L17">
        <v>9.9900199999999995E-2</v>
      </c>
      <c r="M17">
        <v>1.0000199999999999</v>
      </c>
      <c r="N17">
        <v>1.1827000000000001E-3</v>
      </c>
      <c r="O17">
        <v>0.59238800000000003</v>
      </c>
      <c r="P17" s="1">
        <v>5.9569999999999999E-6</v>
      </c>
      <c r="Q17" s="1">
        <v>6.0304999999999999E-5</v>
      </c>
      <c r="R17" s="1">
        <v>1.6963000000000001E-8</v>
      </c>
      <c r="S17" s="1">
        <v>2.1956000000000001E-16</v>
      </c>
      <c r="T17" s="1">
        <v>3.2339000000000003E-5</v>
      </c>
      <c r="U17" s="1">
        <v>1.3797000000000001E-6</v>
      </c>
      <c r="V17" s="1">
        <v>2.3433999999999999E-10</v>
      </c>
      <c r="Y17" s="1">
        <f t="shared" si="0"/>
        <v>3.3718934340000007E-5</v>
      </c>
    </row>
    <row r="18" spans="1:25" x14ac:dyDescent="0.3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-2.06338</v>
      </c>
      <c r="I18">
        <v>-99</v>
      </c>
      <c r="J18">
        <v>25</v>
      </c>
      <c r="K18">
        <v>4.8684200000000003E-4</v>
      </c>
      <c r="L18">
        <v>0.100215</v>
      </c>
      <c r="M18">
        <v>1.0000199999999999</v>
      </c>
      <c r="N18">
        <v>1.1855399999999999E-3</v>
      </c>
      <c r="O18">
        <v>0.59209599999999996</v>
      </c>
      <c r="P18" s="1">
        <v>1.6833999999999998E-5</v>
      </c>
      <c r="Q18" s="1">
        <v>5.3798999999999998E-5</v>
      </c>
      <c r="R18" s="1">
        <v>4.7822000000000003E-9</v>
      </c>
      <c r="S18" s="1">
        <v>1.9567999999999999E-17</v>
      </c>
      <c r="T18" s="1">
        <v>2.8929E-5</v>
      </c>
      <c r="U18" s="1">
        <v>4.3044999999999999E-7</v>
      </c>
      <c r="V18" s="1">
        <v>2.5498000000000001E-11</v>
      </c>
      <c r="Y18" s="1">
        <f t="shared" si="0"/>
        <v>2.9359475497999998E-5</v>
      </c>
    </row>
    <row r="19" spans="1:25" x14ac:dyDescent="0.3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-2.7663500000000001</v>
      </c>
      <c r="I19">
        <v>-99</v>
      </c>
      <c r="J19">
        <v>25</v>
      </c>
      <c r="K19">
        <v>1.38036E-3</v>
      </c>
      <c r="L19">
        <v>0.10115</v>
      </c>
      <c r="M19">
        <v>1.00003</v>
      </c>
      <c r="N19">
        <v>1.1852500000000001E-3</v>
      </c>
      <c r="O19">
        <v>0.58677100000000004</v>
      </c>
      <c r="P19" s="1">
        <v>3.8695999999999997E-5</v>
      </c>
      <c r="Q19" s="1">
        <v>3.8911000000000001E-5</v>
      </c>
      <c r="R19" s="1">
        <v>1.0916E-9</v>
      </c>
      <c r="S19" s="1">
        <v>1.4112E-18</v>
      </c>
      <c r="T19" s="1">
        <v>2.2286999999999999E-5</v>
      </c>
      <c r="U19" s="1">
        <v>1.0288000000000001E-7</v>
      </c>
      <c r="V19" s="1">
        <v>1.8907E-12</v>
      </c>
      <c r="Y19" s="1">
        <f t="shared" si="0"/>
        <v>2.2389881890699998E-5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Bullen, Jay</dc:creator>
  <cp:lastModifiedBy>Weiss, Dominik J</cp:lastModifiedBy>
  <dcterms:created xsi:type="dcterms:W3CDTF">2019-03-13T10:22:15Z</dcterms:created>
  <dcterms:modified xsi:type="dcterms:W3CDTF">2024-05-16T10:45:33Z</dcterms:modified>
</cp:coreProperties>
</file>